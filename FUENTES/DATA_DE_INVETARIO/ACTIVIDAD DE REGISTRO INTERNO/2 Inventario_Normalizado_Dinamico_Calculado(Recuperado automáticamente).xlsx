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50AC0148-CC07-4D74-960E-F13F2966DFBC}" xr6:coauthVersionLast="47" xr6:coauthVersionMax="47" xr10:uidLastSave="{00000000-0000-0000-0000-000000000000}"/>
  <bookViews>
    <workbookView minimized="1" xWindow="9240" yWindow="2544" windowWidth="10584" windowHeight="8880" tabRatio="724" activeTab="1" xr2:uid="{00000000-000D-0000-FFFF-FFFF00000000}"/>
  </bookViews>
  <sheets>
    <sheet name="CONTROL DE LECHE" sheetId="16" r:id="rId1"/>
    <sheet name="INVENTARIO DINAMICO" sheetId="1" r:id="rId2"/>
    <sheet name="Inventario" sheetId="2" state="hidden" r:id="rId3"/>
    <sheet name="Recetas" sheetId="3" r:id="rId4"/>
    <sheet name="RECETA DE DULCE" sheetId="4" r:id="rId5"/>
    <sheet name="Registro Dulce" sheetId="5" r:id="rId6"/>
    <sheet name="STOCK DLCH" sheetId="20" r:id="rId7"/>
    <sheet name="Registro de cheddar" sheetId="12" r:id="rId8"/>
    <sheet name="STOCK QCHL" sheetId="19" r:id="rId9"/>
    <sheet name="CUAJADA" sheetId="6" r:id="rId10"/>
    <sheet name="HILADO" sheetId="7" r:id="rId11"/>
    <sheet name="BALANCE PRINCIPAL" sheetId="17" r:id="rId12"/>
    <sheet name=" RESUMEN CAMARA 2" sheetId="15" r:id="rId13"/>
    <sheet name="REGISTRO DE ENVASADO" sheetId="18" r:id="rId14"/>
    <sheet name="REGISTRO DULCE DINAMICO" sheetId="8" r:id="rId15"/>
    <sheet name="Registro chedar dinamico" sheetId="9" r:id="rId16"/>
    <sheet name="HILADO DINAMICO" sheetId="10" r:id="rId17"/>
    <sheet name="CUAJADA DINAMICO" sheetId="11" r:id="rId18"/>
  </sheets>
  <definedNames>
    <definedName name="DatosExternos_1" localSheetId="1" hidden="1">'INVENTARIO DINAMICO'!$A$1:$J$28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6" i="1" l="1"/>
  <c r="J20" i="1"/>
  <c r="N5" i="19"/>
  <c r="M6" i="19"/>
  <c r="M5" i="19"/>
  <c r="O5" i="19"/>
  <c r="C45" i="17"/>
  <c r="C46" i="17"/>
  <c r="C47" i="17"/>
  <c r="C48" i="17"/>
  <c r="C49" i="17"/>
  <c r="C50" i="17"/>
  <c r="B45" i="17"/>
  <c r="H45" i="17" s="1"/>
  <c r="B46" i="17"/>
  <c r="B47" i="17"/>
  <c r="B48" i="17"/>
  <c r="B49" i="17"/>
  <c r="B50" i="17"/>
  <c r="Y50" i="6"/>
  <c r="D50" i="17" s="1"/>
  <c r="AQ23" i="5"/>
  <c r="H43" i="17"/>
  <c r="H44" i="17"/>
  <c r="H49" i="17"/>
  <c r="H50" i="17"/>
  <c r="D46" i="17"/>
  <c r="D47" i="17"/>
  <c r="D48" i="17"/>
  <c r="D51" i="17"/>
  <c r="Y49" i="6"/>
  <c r="D49" i="17" s="1"/>
  <c r="C5" i="20"/>
  <c r="I3" i="20" s="1"/>
  <c r="D5" i="20"/>
  <c r="H3" i="20" s="1"/>
  <c r="G8" i="20"/>
  <c r="C50" i="11"/>
  <c r="B58" i="11"/>
  <c r="B59" i="11"/>
  <c r="B60" i="11"/>
  <c r="B61" i="11"/>
  <c r="C58" i="11"/>
  <c r="C59" i="11"/>
  <c r="C60" i="11"/>
  <c r="C61" i="11"/>
  <c r="D58" i="11"/>
  <c r="D59" i="11"/>
  <c r="D60" i="11"/>
  <c r="D61" i="11"/>
  <c r="Y45" i="6"/>
  <c r="D45" i="17" s="1"/>
  <c r="L5" i="1"/>
  <c r="L9" i="1"/>
  <c r="L16" i="1"/>
  <c r="L18" i="1"/>
  <c r="L21" i="1"/>
  <c r="L23" i="1"/>
  <c r="L24" i="1"/>
  <c r="L25" i="1"/>
  <c r="L26" i="1"/>
  <c r="L27" i="1"/>
  <c r="H3" i="19"/>
  <c r="G3" i="19"/>
  <c r="S4" i="20"/>
  <c r="T3" i="20"/>
  <c r="S3" i="20"/>
  <c r="I4" i="20"/>
  <c r="H4" i="20"/>
  <c r="N6" i="20"/>
  <c r="T4" i="20" s="1"/>
  <c r="D42" i="17"/>
  <c r="D43" i="17"/>
  <c r="D44" i="17"/>
  <c r="C42" i="17"/>
  <c r="C43" i="17"/>
  <c r="C44" i="17"/>
  <c r="B42" i="17"/>
  <c r="B43" i="17"/>
  <c r="B44" i="17"/>
  <c r="Y44" i="6"/>
  <c r="AQ22" i="5"/>
  <c r="AQ21" i="5"/>
  <c r="E47" i="18"/>
  <c r="H48" i="17" l="1"/>
  <c r="H46" i="17"/>
  <c r="H47" i="17"/>
  <c r="I32" i="18"/>
  <c r="BR39" i="6"/>
  <c r="BR46" i="6"/>
  <c r="BR47" i="6"/>
  <c r="BR48" i="6"/>
  <c r="BR50" i="6"/>
  <c r="Z158" i="7"/>
  <c r="AA158" i="7" s="1"/>
  <c r="Z157" i="7"/>
  <c r="AA157" i="7"/>
  <c r="Z156" i="7"/>
  <c r="AA156" i="7" s="1"/>
  <c r="Z151" i="7"/>
  <c r="AA151" i="7" s="1"/>
  <c r="Z152" i="7"/>
  <c r="AA152" i="7" s="1"/>
  <c r="Z153" i="7"/>
  <c r="AA153" i="7" s="1"/>
  <c r="Z154" i="7"/>
  <c r="AA154" i="7" s="1"/>
  <c r="Z155" i="7"/>
  <c r="AA155" i="7" s="1"/>
  <c r="L42" i="17"/>
  <c r="L43" i="17"/>
  <c r="L44" i="17"/>
  <c r="D31" i="17"/>
  <c r="D32" i="17"/>
  <c r="D33" i="17"/>
  <c r="D34" i="17"/>
  <c r="D35" i="17"/>
  <c r="D37" i="17"/>
  <c r="D38" i="17"/>
  <c r="L38" i="17" s="1"/>
  <c r="D39" i="17"/>
  <c r="C31" i="17"/>
  <c r="C32" i="17"/>
  <c r="C33" i="17"/>
  <c r="C34" i="17"/>
  <c r="C35" i="17"/>
  <c r="C36" i="17"/>
  <c r="C37" i="17"/>
  <c r="C39" i="17"/>
  <c r="C40" i="17"/>
  <c r="Z41" i="6"/>
  <c r="C41" i="17" s="1"/>
  <c r="Y41" i="6"/>
  <c r="D41" i="17" s="1"/>
  <c r="Y40" i="6"/>
  <c r="BQ40" i="6" s="1"/>
  <c r="BR40" i="6" s="1"/>
  <c r="Z38" i="6"/>
  <c r="C38" i="17" s="1"/>
  <c r="Y38" i="6"/>
  <c r="Y36" i="6"/>
  <c r="D36" i="17" s="1"/>
  <c r="Y34" i="6"/>
  <c r="Y33" i="6"/>
  <c r="Y32" i="6"/>
  <c r="Z31" i="6"/>
  <c r="E31" i="17" s="1"/>
  <c r="Y31" i="6"/>
  <c r="Z30" i="6"/>
  <c r="C30" i="17" s="1"/>
  <c r="Y30" i="6"/>
  <c r="D30" i="17" s="1"/>
  <c r="G39" i="17"/>
  <c r="C150" i="7"/>
  <c r="C104" i="7"/>
  <c r="H42" i="17"/>
  <c r="I34" i="17"/>
  <c r="I33" i="17"/>
  <c r="BQ42" i="6"/>
  <c r="BR42" i="6" s="1"/>
  <c r="E26" i="17"/>
  <c r="E27" i="17"/>
  <c r="I25" i="17"/>
  <c r="BQ43" i="6"/>
  <c r="BR43" i="6" s="1"/>
  <c r="BQ44" i="6"/>
  <c r="BR44" i="6" s="1"/>
  <c r="BQ45" i="6"/>
  <c r="BR45" i="6" s="1"/>
  <c r="BQ46" i="6"/>
  <c r="BQ47" i="6"/>
  <c r="BQ48" i="6"/>
  <c r="BQ49" i="6"/>
  <c r="BR49" i="6" s="1"/>
  <c r="BQ50" i="6"/>
  <c r="E30" i="17"/>
  <c r="B41" i="17"/>
  <c r="Z150" i="7"/>
  <c r="Z148" i="7"/>
  <c r="C148" i="7"/>
  <c r="Z147" i="7"/>
  <c r="C147" i="7"/>
  <c r="Z146" i="7"/>
  <c r="C146" i="7"/>
  <c r="Z145" i="7"/>
  <c r="C145" i="7"/>
  <c r="C143" i="7"/>
  <c r="Z143" i="7"/>
  <c r="G40" i="17" s="1"/>
  <c r="Z144" i="7"/>
  <c r="AA144" i="7" s="1"/>
  <c r="C142" i="7"/>
  <c r="Z138" i="7"/>
  <c r="AA138" i="7" s="1"/>
  <c r="Z139" i="7"/>
  <c r="G36" i="17" s="1"/>
  <c r="Z140" i="7"/>
  <c r="AA140" i="7" s="1"/>
  <c r="Z141" i="7"/>
  <c r="AA141" i="7" s="1"/>
  <c r="Z142" i="7"/>
  <c r="G22" i="12"/>
  <c r="G18" i="12"/>
  <c r="AQ19" i="5"/>
  <c r="AQ20" i="5"/>
  <c r="I26" i="17"/>
  <c r="F37" i="17"/>
  <c r="B40" i="17"/>
  <c r="B39" i="17"/>
  <c r="L39" i="17" s="1"/>
  <c r="BQ39" i="6"/>
  <c r="L41" i="17" l="1"/>
  <c r="D40" i="17"/>
  <c r="L40" i="17" s="1"/>
  <c r="AA150" i="7"/>
  <c r="H39" i="17"/>
  <c r="F39" i="17"/>
  <c r="BQ41" i="6"/>
  <c r="BR41" i="6" s="1"/>
  <c r="F40" i="17"/>
  <c r="H40" i="17"/>
  <c r="G35" i="17"/>
  <c r="AA139" i="7"/>
  <c r="AA146" i="7"/>
  <c r="AA145" i="7"/>
  <c r="AA148" i="7"/>
  <c r="AA147" i="7"/>
  <c r="AA143" i="7"/>
  <c r="AA142" i="7"/>
  <c r="G38" i="17"/>
  <c r="G37" i="17"/>
  <c r="AQ18" i="5"/>
  <c r="AQ17" i="5"/>
  <c r="AQ16" i="5"/>
  <c r="K12" i="12"/>
  <c r="BQ37" i="6"/>
  <c r="BR37" i="6" s="1"/>
  <c r="BQ38" i="6"/>
  <c r="BR38" i="6" s="1"/>
  <c r="C36" i="6"/>
  <c r="H41" i="17" l="1"/>
  <c r="B31" i="17"/>
  <c r="B32" i="17"/>
  <c r="B33" i="17"/>
  <c r="L33" i="17" s="1"/>
  <c r="B34" i="17"/>
  <c r="L34" i="17" s="1"/>
  <c r="B35" i="17"/>
  <c r="B36" i="17"/>
  <c r="L36" i="17" s="1"/>
  <c r="B37" i="17"/>
  <c r="A31" i="17"/>
  <c r="A32" i="17"/>
  <c r="A33" i="17"/>
  <c r="A34" i="17"/>
  <c r="A35" i="17"/>
  <c r="A36" i="17"/>
  <c r="A37" i="17"/>
  <c r="A38" i="17"/>
  <c r="A39" i="17"/>
  <c r="A40" i="17"/>
  <c r="Z136" i="7"/>
  <c r="G33" i="17" s="1"/>
  <c r="Z137" i="7"/>
  <c r="G34" i="17" s="1"/>
  <c r="BQ33" i="6"/>
  <c r="BR33" i="6" s="1"/>
  <c r="BQ34" i="6"/>
  <c r="BR34" i="6" s="1"/>
  <c r="BQ35" i="6"/>
  <c r="BR35" i="6" s="1"/>
  <c r="BQ36" i="6"/>
  <c r="BR36" i="6" s="1"/>
  <c r="E29" i="17"/>
  <c r="Z134" i="7"/>
  <c r="Z135" i="7"/>
  <c r="E28" i="17"/>
  <c r="I18" i="17"/>
  <c r="E18" i="17"/>
  <c r="E20" i="17"/>
  <c r="B18" i="17"/>
  <c r="BQ30" i="6"/>
  <c r="BR30" i="6" s="1"/>
  <c r="BQ28" i="6"/>
  <c r="BR28" i="6" s="1"/>
  <c r="BQ26" i="6"/>
  <c r="B21" i="17"/>
  <c r="BQ10" i="6"/>
  <c r="BQ32" i="6"/>
  <c r="BQ25" i="6"/>
  <c r="BR25" i="6" s="1"/>
  <c r="BQ29" i="6"/>
  <c r="I22" i="17"/>
  <c r="I21" i="17"/>
  <c r="I20" i="17"/>
  <c r="I19" i="17"/>
  <c r="E24" i="17"/>
  <c r="E21" i="17"/>
  <c r="E19" i="17"/>
  <c r="E11" i="17"/>
  <c r="F35" i="17"/>
  <c r="C3" i="17"/>
  <c r="C4" i="17"/>
  <c r="C5" i="17"/>
  <c r="C6" i="17"/>
  <c r="C7" i="17"/>
  <c r="C8" i="17"/>
  <c r="C9" i="17"/>
  <c r="C18" i="17"/>
  <c r="C19" i="17"/>
  <c r="C20" i="17"/>
  <c r="C21" i="17"/>
  <c r="C23" i="17"/>
  <c r="F23" i="17" s="1"/>
  <c r="C2" i="17"/>
  <c r="B29" i="17"/>
  <c r="B30" i="17"/>
  <c r="B3" i="17"/>
  <c r="L3" i="17" s="1"/>
  <c r="B4" i="17"/>
  <c r="L4" i="17" s="1"/>
  <c r="B5" i="17"/>
  <c r="L5" i="17" s="1"/>
  <c r="B6" i="17"/>
  <c r="L6" i="17" s="1"/>
  <c r="B7" i="17"/>
  <c r="L7" i="17" s="1"/>
  <c r="B8" i="17"/>
  <c r="L8" i="17" s="1"/>
  <c r="B9" i="17"/>
  <c r="L9" i="17" s="1"/>
  <c r="B10" i="17"/>
  <c r="L10" i="17" s="1"/>
  <c r="B11" i="17"/>
  <c r="L11" i="17" s="1"/>
  <c r="B12" i="17"/>
  <c r="L12" i="17" s="1"/>
  <c r="B14" i="17"/>
  <c r="L14" i="17" s="1"/>
  <c r="B15" i="17"/>
  <c r="L15" i="17" s="1"/>
  <c r="B17" i="17"/>
  <c r="L17" i="17" s="1"/>
  <c r="B19" i="17"/>
  <c r="B20" i="17"/>
  <c r="B22" i="17"/>
  <c r="B23" i="17"/>
  <c r="B24" i="17"/>
  <c r="L24" i="17" s="1"/>
  <c r="B25" i="17"/>
  <c r="B26" i="17"/>
  <c r="B27" i="17"/>
  <c r="L27" i="17" s="1"/>
  <c r="B28" i="17"/>
  <c r="L28" i="17" s="1"/>
  <c r="B2" i="17"/>
  <c r="L2" i="17" s="1"/>
  <c r="A3" i="17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2" i="17"/>
  <c r="AA173" i="7"/>
  <c r="Z121" i="7"/>
  <c r="AA121" i="7" s="1"/>
  <c r="Z122" i="7"/>
  <c r="AA122" i="7" s="1"/>
  <c r="Z125" i="7"/>
  <c r="AA125" i="7" s="1"/>
  <c r="Z126" i="7"/>
  <c r="Z127" i="7"/>
  <c r="AA127" i="7" s="1"/>
  <c r="Z128" i="7"/>
  <c r="AA128" i="7" s="1"/>
  <c r="Z133" i="7"/>
  <c r="AA133" i="7" s="1"/>
  <c r="Z172" i="7"/>
  <c r="AA172" i="7" s="1"/>
  <c r="O132" i="7"/>
  <c r="Z132" i="7" s="1"/>
  <c r="AA132" i="7" s="1"/>
  <c r="O131" i="7"/>
  <c r="Z131" i="7" s="1"/>
  <c r="AA131" i="7" s="1"/>
  <c r="O130" i="7"/>
  <c r="Z130" i="7" s="1"/>
  <c r="AA130" i="7" s="1"/>
  <c r="O129" i="7"/>
  <c r="Z129" i="7" s="1"/>
  <c r="AA129" i="7" s="1"/>
  <c r="P124" i="7"/>
  <c r="Z124" i="7" s="1"/>
  <c r="AA124" i="7" s="1"/>
  <c r="O123" i="7"/>
  <c r="Z123" i="7" s="1"/>
  <c r="B121" i="15"/>
  <c r="B122" i="15"/>
  <c r="B123" i="15"/>
  <c r="B124" i="15"/>
  <c r="B125" i="15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54" i="15"/>
  <c r="B55" i="15"/>
  <c r="B56" i="15"/>
  <c r="B57" i="15"/>
  <c r="B58" i="15"/>
  <c r="B59" i="15"/>
  <c r="B60" i="15"/>
  <c r="B61" i="15"/>
  <c r="B62" i="15"/>
  <c r="B63" i="15"/>
  <c r="B64" i="15"/>
  <c r="B65" i="15"/>
  <c r="B66" i="15"/>
  <c r="B67" i="15"/>
  <c r="B68" i="15"/>
  <c r="B69" i="15"/>
  <c r="B70" i="15"/>
  <c r="B71" i="15"/>
  <c r="B72" i="15"/>
  <c r="B73" i="15"/>
  <c r="B74" i="15"/>
  <c r="B75" i="15"/>
  <c r="B76" i="15"/>
  <c r="B77" i="15"/>
  <c r="B78" i="15"/>
  <c r="B79" i="15"/>
  <c r="B80" i="15"/>
  <c r="B81" i="15"/>
  <c r="B82" i="15"/>
  <c r="B83" i="15"/>
  <c r="B84" i="15"/>
  <c r="B85" i="15"/>
  <c r="B86" i="15"/>
  <c r="B87" i="15"/>
  <c r="B88" i="15"/>
  <c r="B89" i="15"/>
  <c r="B90" i="15"/>
  <c r="B91" i="15"/>
  <c r="B92" i="15"/>
  <c r="B93" i="15"/>
  <c r="B94" i="15"/>
  <c r="B95" i="15"/>
  <c r="B96" i="15"/>
  <c r="B97" i="15"/>
  <c r="B98" i="15"/>
  <c r="B99" i="15"/>
  <c r="B100" i="15"/>
  <c r="B101" i="15"/>
  <c r="B102" i="15"/>
  <c r="B103" i="15"/>
  <c r="B104" i="15"/>
  <c r="B105" i="15"/>
  <c r="B106" i="15"/>
  <c r="B107" i="15"/>
  <c r="B108" i="15"/>
  <c r="B109" i="15"/>
  <c r="B110" i="15"/>
  <c r="B111" i="15"/>
  <c r="B112" i="15"/>
  <c r="B113" i="15"/>
  <c r="B114" i="15"/>
  <c r="B115" i="15"/>
  <c r="B116" i="15"/>
  <c r="B117" i="15"/>
  <c r="B118" i="15"/>
  <c r="B119" i="15"/>
  <c r="B120" i="15"/>
  <c r="B126" i="15"/>
  <c r="B127" i="15"/>
  <c r="B128" i="15"/>
  <c r="B129" i="15"/>
  <c r="B130" i="15"/>
  <c r="B131" i="15"/>
  <c r="B132" i="15"/>
  <c r="B133" i="15"/>
  <c r="B134" i="15"/>
  <c r="B135" i="15"/>
  <c r="B136" i="15"/>
  <c r="B137" i="15"/>
  <c r="B138" i="15"/>
  <c r="B139" i="15"/>
  <c r="B140" i="15"/>
  <c r="B141" i="15"/>
  <c r="B142" i="15"/>
  <c r="B143" i="15"/>
  <c r="B144" i="15"/>
  <c r="B145" i="15"/>
  <c r="B146" i="15"/>
  <c r="B147" i="15"/>
  <c r="B148" i="15"/>
  <c r="B149" i="15"/>
  <c r="B150" i="15"/>
  <c r="B151" i="15"/>
  <c r="B152" i="15"/>
  <c r="B153" i="15"/>
  <c r="B154" i="15"/>
  <c r="B155" i="15"/>
  <c r="B156" i="15"/>
  <c r="B157" i="15"/>
  <c r="B158" i="15"/>
  <c r="B159" i="15"/>
  <c r="B160" i="15"/>
  <c r="B161" i="15"/>
  <c r="B162" i="15"/>
  <c r="B163" i="15"/>
  <c r="B164" i="15"/>
  <c r="B165" i="15"/>
  <c r="B166" i="15"/>
  <c r="B167" i="15"/>
  <c r="B168" i="15"/>
  <c r="B169" i="15"/>
  <c r="B170" i="15"/>
  <c r="B171" i="15"/>
  <c r="B172" i="15"/>
  <c r="B173" i="15"/>
  <c r="B174" i="15"/>
  <c r="B175" i="15"/>
  <c r="B176" i="15"/>
  <c r="B177" i="15"/>
  <c r="B178" i="15"/>
  <c r="B179" i="15"/>
  <c r="B180" i="15"/>
  <c r="B181" i="15"/>
  <c r="B182" i="15"/>
  <c r="B183" i="15"/>
  <c r="B184" i="15"/>
  <c r="B185" i="15"/>
  <c r="B186" i="15"/>
  <c r="B187" i="15"/>
  <c r="B188" i="15"/>
  <c r="B189" i="15"/>
  <c r="B190" i="15"/>
  <c r="B191" i="15"/>
  <c r="B192" i="15"/>
  <c r="B193" i="15"/>
  <c r="B194" i="15"/>
  <c r="B195" i="15"/>
  <c r="B196" i="15"/>
  <c r="B197" i="15"/>
  <c r="B198" i="15"/>
  <c r="B199" i="15"/>
  <c r="B200" i="15"/>
  <c r="B201" i="15"/>
  <c r="B202" i="15"/>
  <c r="B203" i="15"/>
  <c r="B204" i="15"/>
  <c r="B205" i="15"/>
  <c r="B206" i="15"/>
  <c r="B207" i="15"/>
  <c r="B208" i="15"/>
  <c r="B209" i="15"/>
  <c r="B210" i="15"/>
  <c r="B211" i="15"/>
  <c r="B212" i="15"/>
  <c r="B213" i="15"/>
  <c r="B214" i="15"/>
  <c r="B2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69" i="15"/>
  <c r="A170" i="15"/>
  <c r="A171" i="15"/>
  <c r="A172" i="15"/>
  <c r="A173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3" i="15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93" i="15"/>
  <c r="A94" i="15"/>
  <c r="A95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2" i="15"/>
  <c r="A57" i="11"/>
  <c r="B57" i="11"/>
  <c r="C57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2" i="11"/>
  <c r="D53" i="11"/>
  <c r="D54" i="11"/>
  <c r="D55" i="11"/>
  <c r="D56" i="11"/>
  <c r="D57" i="11"/>
  <c r="D2" i="11"/>
  <c r="A33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2" i="11"/>
  <c r="C53" i="11"/>
  <c r="C54" i="11"/>
  <c r="C55" i="11"/>
  <c r="C56" i="11"/>
  <c r="C2" i="11"/>
  <c r="B3" i="11"/>
  <c r="B4" i="11"/>
  <c r="B5" i="11"/>
  <c r="B6" i="11"/>
  <c r="B7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2" i="11"/>
  <c r="B53" i="11"/>
  <c r="B54" i="11"/>
  <c r="B55" i="11"/>
  <c r="B56" i="11"/>
  <c r="B2" i="11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2" i="11"/>
  <c r="B102" i="10"/>
  <c r="B103" i="10"/>
  <c r="B104" i="10"/>
  <c r="B105" i="10"/>
  <c r="B106" i="10"/>
  <c r="B107" i="10"/>
  <c r="B108" i="10"/>
  <c r="B109" i="10"/>
  <c r="B110" i="10"/>
  <c r="B92" i="10"/>
  <c r="B93" i="10"/>
  <c r="B94" i="10"/>
  <c r="B95" i="10"/>
  <c r="B96" i="10"/>
  <c r="B97" i="10"/>
  <c r="B98" i="10"/>
  <c r="B99" i="10"/>
  <c r="B100" i="10"/>
  <c r="B101" i="10"/>
  <c r="B82" i="10"/>
  <c r="B83" i="10"/>
  <c r="B84" i="10"/>
  <c r="B85" i="10"/>
  <c r="B86" i="10"/>
  <c r="B87" i="10"/>
  <c r="B88" i="10"/>
  <c r="B89" i="10"/>
  <c r="B90" i="10"/>
  <c r="B91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2" i="10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2" i="10"/>
  <c r="BQ9" i="6"/>
  <c r="BR9" i="6" s="1"/>
  <c r="Z36" i="7"/>
  <c r="AA36" i="7" s="1"/>
  <c r="Z37" i="7"/>
  <c r="Z38" i="7"/>
  <c r="AA38" i="7" s="1"/>
  <c r="Z39" i="7"/>
  <c r="AA39" i="7" s="1"/>
  <c r="Z40" i="7"/>
  <c r="AA40" i="7" s="1"/>
  <c r="Z41" i="7"/>
  <c r="AA41" i="7" s="1"/>
  <c r="Z42" i="7"/>
  <c r="AA42" i="7" s="1"/>
  <c r="Z43" i="7"/>
  <c r="AA43" i="7" s="1"/>
  <c r="Z44" i="7"/>
  <c r="AA44" i="7" s="1"/>
  <c r="Z45" i="7"/>
  <c r="AA45" i="7" s="1"/>
  <c r="Z46" i="7"/>
  <c r="AA46" i="7" s="1"/>
  <c r="Z47" i="7"/>
  <c r="AA47" i="7" s="1"/>
  <c r="Z48" i="7"/>
  <c r="AA48" i="7" s="1"/>
  <c r="Z49" i="7"/>
  <c r="AA49" i="7" s="1"/>
  <c r="Z50" i="7"/>
  <c r="AA50" i="7" s="1"/>
  <c r="Z51" i="7"/>
  <c r="AA51" i="7" s="1"/>
  <c r="Z52" i="7"/>
  <c r="Z53" i="7"/>
  <c r="Z54" i="7"/>
  <c r="Z55" i="7"/>
  <c r="Z56" i="7"/>
  <c r="Z57" i="7"/>
  <c r="Z58" i="7"/>
  <c r="Z59" i="7"/>
  <c r="Z60" i="7"/>
  <c r="Z61" i="7"/>
  <c r="Z62" i="7"/>
  <c r="Z63" i="7"/>
  <c r="Z64" i="7"/>
  <c r="Z65" i="7"/>
  <c r="AA65" i="7" s="1"/>
  <c r="Z67" i="7"/>
  <c r="Z68" i="7"/>
  <c r="Z69" i="7"/>
  <c r="Z70" i="7"/>
  <c r="Z71" i="7"/>
  <c r="Z72" i="7"/>
  <c r="Z73" i="7"/>
  <c r="Z74" i="7"/>
  <c r="Z75" i="7"/>
  <c r="Z76" i="7"/>
  <c r="Z77" i="7"/>
  <c r="Z78" i="7"/>
  <c r="AA78" i="7" s="1"/>
  <c r="Z79" i="7"/>
  <c r="AA79" i="7" s="1"/>
  <c r="Z80" i="7"/>
  <c r="AA80" i="7" s="1"/>
  <c r="Z81" i="7"/>
  <c r="AA81" i="7" s="1"/>
  <c r="Z82" i="7"/>
  <c r="AA82" i="7" s="1"/>
  <c r="Z83" i="7"/>
  <c r="AA83" i="7" s="1"/>
  <c r="Z84" i="7"/>
  <c r="AA84" i="7" s="1"/>
  <c r="Z85" i="7"/>
  <c r="AA85" i="7" s="1"/>
  <c r="Z86" i="7"/>
  <c r="AA86" i="7" s="1"/>
  <c r="Z87" i="7"/>
  <c r="AA87" i="7" s="1"/>
  <c r="Z88" i="7"/>
  <c r="AA88" i="7" s="1"/>
  <c r="Z89" i="7"/>
  <c r="AA89" i="7" s="1"/>
  <c r="Z90" i="7"/>
  <c r="Z91" i="7"/>
  <c r="AA91" i="7" s="1"/>
  <c r="Z92" i="7"/>
  <c r="AA92" i="7" s="1"/>
  <c r="Z93" i="7"/>
  <c r="AA93" i="7" s="1"/>
  <c r="Z94" i="7"/>
  <c r="AA94" i="7" s="1"/>
  <c r="Z95" i="7"/>
  <c r="AA95" i="7" s="1"/>
  <c r="Z96" i="7"/>
  <c r="AA96" i="7" s="1"/>
  <c r="Z97" i="7"/>
  <c r="AA97" i="7" s="1"/>
  <c r="Z98" i="7"/>
  <c r="AA98" i="7" s="1"/>
  <c r="Z99" i="7"/>
  <c r="Z100" i="7"/>
  <c r="AA100" i="7" s="1"/>
  <c r="Z101" i="7"/>
  <c r="AA101" i="7" s="1"/>
  <c r="Z102" i="7"/>
  <c r="AA102" i="7" s="1"/>
  <c r="C99" i="7"/>
  <c r="E22" i="17" s="1"/>
  <c r="Z103" i="7"/>
  <c r="AA103" i="7" s="1"/>
  <c r="Z104" i="7"/>
  <c r="Z105" i="7"/>
  <c r="AA105" i="7" s="1"/>
  <c r="Z106" i="7"/>
  <c r="AA106" i="7" s="1"/>
  <c r="C107" i="7"/>
  <c r="Z107" i="7"/>
  <c r="Z108" i="7"/>
  <c r="AA108" i="7" s="1"/>
  <c r="Z109" i="7"/>
  <c r="AA109" i="7" s="1"/>
  <c r="C110" i="7"/>
  <c r="Z110" i="7"/>
  <c r="Z111" i="7"/>
  <c r="AA111" i="7" s="1"/>
  <c r="Z112" i="7"/>
  <c r="AA112" i="7" s="1"/>
  <c r="Z113" i="7"/>
  <c r="AA113" i="7" s="1"/>
  <c r="Z114" i="7"/>
  <c r="AA114" i="7" s="1"/>
  <c r="Z115" i="7"/>
  <c r="AA115" i="7" s="1"/>
  <c r="Z116" i="7"/>
  <c r="Z117" i="7"/>
  <c r="AA117" i="7" s="1"/>
  <c r="Z118" i="7"/>
  <c r="AA118" i="7" s="1"/>
  <c r="Z119" i="7"/>
  <c r="AA119" i="7" s="1"/>
  <c r="Z120" i="7"/>
  <c r="AA120" i="7" s="1"/>
  <c r="C76" i="7"/>
  <c r="C75" i="7"/>
  <c r="C74" i="7"/>
  <c r="C73" i="7"/>
  <c r="C72" i="7"/>
  <c r="C71" i="7"/>
  <c r="C70" i="7"/>
  <c r="C69" i="7"/>
  <c r="C68" i="7"/>
  <c r="BQ31" i="6"/>
  <c r="BR31" i="6" s="1"/>
  <c r="BQ27" i="6"/>
  <c r="BR27" i="6" s="1"/>
  <c r="C16" i="6"/>
  <c r="BR16" i="6" s="1"/>
  <c r="C13" i="6"/>
  <c r="BQ24" i="6"/>
  <c r="BR24" i="6" s="1"/>
  <c r="BQ23" i="6"/>
  <c r="BR23" i="6" s="1"/>
  <c r="BQ22" i="6"/>
  <c r="BR22" i="6" s="1"/>
  <c r="BQ21" i="6"/>
  <c r="BR21" i="6" s="1"/>
  <c r="BQ20" i="6"/>
  <c r="BR20" i="6" s="1"/>
  <c r="BQ19" i="6"/>
  <c r="BR19" i="6" s="1"/>
  <c r="BQ18" i="6"/>
  <c r="BR18" i="6" s="1"/>
  <c r="BQ17" i="6"/>
  <c r="BR17" i="6" s="1"/>
  <c r="BQ16" i="6"/>
  <c r="C16" i="17" s="1"/>
  <c r="BQ15" i="6"/>
  <c r="BR15" i="6" s="1"/>
  <c r="BQ14" i="6"/>
  <c r="BR14" i="6" s="1"/>
  <c r="BQ13" i="6"/>
  <c r="C13" i="17" s="1"/>
  <c r="BQ12" i="6"/>
  <c r="BR12" i="6" s="1"/>
  <c r="BQ11" i="6"/>
  <c r="BR11" i="6" s="1"/>
  <c r="C67" i="7"/>
  <c r="C66" i="7"/>
  <c r="AA66" i="7" s="1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Z35" i="7"/>
  <c r="AA35" i="7" s="1"/>
  <c r="Z34" i="7"/>
  <c r="AA34" i="7" s="1"/>
  <c r="Z33" i="7"/>
  <c r="AA33" i="7" s="1"/>
  <c r="Z32" i="7"/>
  <c r="C32" i="7"/>
  <c r="Z31" i="7"/>
  <c r="AA31" i="7" s="1"/>
  <c r="Z30" i="7"/>
  <c r="AA30" i="7" s="1"/>
  <c r="Z29" i="7"/>
  <c r="AA29" i="7" s="1"/>
  <c r="Z28" i="7"/>
  <c r="AA28" i="7" s="1"/>
  <c r="Z27" i="7"/>
  <c r="AA27" i="7" s="1"/>
  <c r="Z26" i="7"/>
  <c r="AA26" i="7" s="1"/>
  <c r="Z25" i="7"/>
  <c r="AA25" i="7" s="1"/>
  <c r="Z24" i="7"/>
  <c r="AA24" i="7" s="1"/>
  <c r="Z23" i="7"/>
  <c r="AA23" i="7" s="1"/>
  <c r="Z22" i="7"/>
  <c r="AA22" i="7" s="1"/>
  <c r="Z21" i="7"/>
  <c r="AA21" i="7" s="1"/>
  <c r="Z20" i="7"/>
  <c r="AA20" i="7" s="1"/>
  <c r="Z19" i="7"/>
  <c r="AA19" i="7" s="1"/>
  <c r="Z18" i="7"/>
  <c r="AA18" i="7" s="1"/>
  <c r="Z17" i="7"/>
  <c r="AA17" i="7" s="1"/>
  <c r="Z16" i="7"/>
  <c r="AA16" i="7" s="1"/>
  <c r="Z15" i="7"/>
  <c r="AA15" i="7" s="1"/>
  <c r="Z14" i="7"/>
  <c r="AA14" i="7" s="1"/>
  <c r="Z13" i="7"/>
  <c r="C13" i="7"/>
  <c r="Z12" i="7"/>
  <c r="C12" i="7"/>
  <c r="Z11" i="7"/>
  <c r="C11" i="7"/>
  <c r="Z10" i="7"/>
  <c r="C10" i="7"/>
  <c r="Z9" i="7"/>
  <c r="C9" i="7"/>
  <c r="Z8" i="7"/>
  <c r="AA8" i="7" s="1"/>
  <c r="Z7" i="7"/>
  <c r="AA7" i="7" s="1"/>
  <c r="Z6" i="7"/>
  <c r="AA6" i="7" s="1"/>
  <c r="Z5" i="7"/>
  <c r="AA5" i="7" s="1"/>
  <c r="Z4" i="7"/>
  <c r="AA4" i="7" s="1"/>
  <c r="Z3" i="7"/>
  <c r="AA3" i="7" s="1"/>
  <c r="Z2" i="7"/>
  <c r="AA2" i="7" s="1"/>
  <c r="G8" i="6"/>
  <c r="B8" i="11" s="1"/>
  <c r="AQ15" i="5"/>
  <c r="AQ14" i="5"/>
  <c r="AQ13" i="5"/>
  <c r="AQ12" i="5"/>
  <c r="AQ11" i="5"/>
  <c r="AQ10" i="5"/>
  <c r="AQ9" i="5"/>
  <c r="AQ8" i="5"/>
  <c r="AQ7" i="5"/>
  <c r="E20" i="4"/>
  <c r="E19" i="4"/>
  <c r="E18" i="4"/>
  <c r="E17" i="4"/>
  <c r="E16" i="4"/>
  <c r="E15" i="4"/>
  <c r="E10" i="4"/>
  <c r="E9" i="4"/>
  <c r="E8" i="4"/>
  <c r="E7" i="4"/>
  <c r="E6" i="4"/>
  <c r="E5" i="4"/>
  <c r="E4" i="4"/>
  <c r="C19" i="3"/>
  <c r="F17" i="3"/>
  <c r="E17" i="3"/>
  <c r="D17" i="3"/>
  <c r="F16" i="3"/>
  <c r="E16" i="3"/>
  <c r="D16" i="3"/>
  <c r="F15" i="3"/>
  <c r="E15" i="3"/>
  <c r="D15" i="3"/>
  <c r="F14" i="3"/>
  <c r="E14" i="3"/>
  <c r="D14" i="3"/>
  <c r="F13" i="3"/>
  <c r="E13" i="3"/>
  <c r="D13" i="3"/>
  <c r="F12" i="3"/>
  <c r="E12" i="3"/>
  <c r="D12" i="3"/>
  <c r="F11" i="3"/>
  <c r="E11" i="3"/>
  <c r="D11" i="3"/>
  <c r="F10" i="3"/>
  <c r="E10" i="3"/>
  <c r="D10" i="3"/>
  <c r="F9" i="3"/>
  <c r="E9" i="3"/>
  <c r="D9" i="3"/>
  <c r="F8" i="3"/>
  <c r="E8" i="3"/>
  <c r="D8" i="3"/>
  <c r="F7" i="3"/>
  <c r="E7" i="3"/>
  <c r="D7" i="3"/>
  <c r="F6" i="3"/>
  <c r="E6" i="3"/>
  <c r="E19" i="3" s="1"/>
  <c r="D6" i="3"/>
  <c r="D19" i="3" s="1"/>
  <c r="F5" i="3"/>
  <c r="F19" i="3" s="1"/>
  <c r="E5" i="3"/>
  <c r="D5" i="3"/>
  <c r="F4" i="3"/>
  <c r="E4" i="3"/>
  <c r="D4" i="3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1" i="1"/>
  <c r="Q10" i="1"/>
  <c r="Q9" i="1"/>
  <c r="Q8" i="1"/>
  <c r="Q7" i="1"/>
  <c r="Q6" i="1"/>
  <c r="Q5" i="1"/>
  <c r="Q4" i="1"/>
  <c r="Q3" i="1"/>
  <c r="Q2" i="1"/>
  <c r="Z1" i="1"/>
  <c r="K39" i="1" s="1"/>
  <c r="L39" i="1" s="1"/>
  <c r="K37" i="1" l="1"/>
  <c r="L37" i="1" s="1"/>
  <c r="K38" i="1"/>
  <c r="L38" i="1" s="1"/>
  <c r="K34" i="1"/>
  <c r="L34" i="1" s="1"/>
  <c r="K35" i="1"/>
  <c r="L35" i="1" s="1"/>
  <c r="K36" i="1"/>
  <c r="L36" i="1" s="1"/>
  <c r="K32" i="1"/>
  <c r="L32" i="1" s="1"/>
  <c r="K33" i="1"/>
  <c r="L33" i="1" s="1"/>
  <c r="BR13" i="6"/>
  <c r="C353" i="6"/>
  <c r="B16" i="17"/>
  <c r="L16" i="17" s="1"/>
  <c r="C17" i="17"/>
  <c r="C28" i="17"/>
  <c r="B13" i="17"/>
  <c r="L13" i="17" s="1"/>
  <c r="C15" i="17"/>
  <c r="F32" i="17"/>
  <c r="BR32" i="6"/>
  <c r="C14" i="17"/>
  <c r="C10" i="17"/>
  <c r="BR10" i="6"/>
  <c r="C27" i="17"/>
  <c r="F27" i="17" s="1"/>
  <c r="BR29" i="6"/>
  <c r="C29" i="17"/>
  <c r="C25" i="17"/>
  <c r="C12" i="17"/>
  <c r="C22" i="17"/>
  <c r="F22" i="17" s="1"/>
  <c r="F29" i="17"/>
  <c r="C24" i="17"/>
  <c r="F24" i="17" s="1"/>
  <c r="C11" i="17"/>
  <c r="C26" i="17"/>
  <c r="F26" i="17" s="1"/>
  <c r="BR26" i="6"/>
  <c r="K29" i="1"/>
  <c r="L29" i="1" s="1"/>
  <c r="K22" i="1"/>
  <c r="L22" i="1" s="1"/>
  <c r="K11" i="1"/>
  <c r="L11" i="1" s="1"/>
  <c r="L23" i="17"/>
  <c r="H23" i="17"/>
  <c r="L37" i="17"/>
  <c r="H37" i="17"/>
  <c r="L35" i="17"/>
  <c r="H35" i="17"/>
  <c r="L30" i="17"/>
  <c r="L32" i="17"/>
  <c r="H32" i="17"/>
  <c r="L31" i="17"/>
  <c r="J31" i="17"/>
  <c r="F38" i="17"/>
  <c r="H38" i="17"/>
  <c r="C137" i="7"/>
  <c r="AA137" i="7" s="1"/>
  <c r="C136" i="7"/>
  <c r="C135" i="7"/>
  <c r="AA135" i="7" s="1"/>
  <c r="F30" i="17"/>
  <c r="AA136" i="7"/>
  <c r="AA134" i="7"/>
  <c r="G30" i="17"/>
  <c r="H30" i="17" s="1"/>
  <c r="G32" i="17"/>
  <c r="F20" i="17"/>
  <c r="F19" i="17"/>
  <c r="F21" i="17"/>
  <c r="F18" i="17"/>
  <c r="F28" i="17"/>
  <c r="L22" i="17"/>
  <c r="H24" i="17"/>
  <c r="L21" i="17"/>
  <c r="L19" i="17"/>
  <c r="F31" i="17"/>
  <c r="L20" i="17"/>
  <c r="AA53" i="7"/>
  <c r="AA60" i="7"/>
  <c r="AA61" i="7"/>
  <c r="AA74" i="7"/>
  <c r="AA71" i="7"/>
  <c r="E25" i="17"/>
  <c r="F25" i="17" s="1"/>
  <c r="AA59" i="7"/>
  <c r="AA72" i="7"/>
  <c r="AA54" i="7"/>
  <c r="G18" i="17"/>
  <c r="H18" i="17" s="1"/>
  <c r="Q12" i="1"/>
  <c r="AA76" i="7"/>
  <c r="AA63" i="7"/>
  <c r="AA52" i="7"/>
  <c r="AA64" i="7"/>
  <c r="G26" i="17"/>
  <c r="H26" i="17" s="1"/>
  <c r="AA77" i="7"/>
  <c r="G22" i="17"/>
  <c r="AA68" i="7"/>
  <c r="AA55" i="7"/>
  <c r="G27" i="17"/>
  <c r="H27" i="17" s="1"/>
  <c r="AA107" i="7"/>
  <c r="G21" i="17"/>
  <c r="H21" i="17" s="1"/>
  <c r="G28" i="17"/>
  <c r="H28" i="17" s="1"/>
  <c r="AA123" i="7"/>
  <c r="G29" i="17"/>
  <c r="AA90" i="7"/>
  <c r="AA104" i="7"/>
  <c r="AA99" i="7"/>
  <c r="AA75" i="7"/>
  <c r="AA62" i="7"/>
  <c r="G19" i="17"/>
  <c r="G20" i="17"/>
  <c r="AA110" i="7"/>
  <c r="AA73" i="7"/>
  <c r="AA116" i="7"/>
  <c r="AA32" i="7"/>
  <c r="AA58" i="7"/>
  <c r="AA126" i="7"/>
  <c r="G25" i="17"/>
  <c r="H25" i="17" s="1"/>
  <c r="AA70" i="7"/>
  <c r="AA57" i="7"/>
  <c r="AA69" i="7"/>
  <c r="AA56" i="7"/>
  <c r="AA67" i="7"/>
  <c r="L26" i="17"/>
  <c r="L25" i="17"/>
  <c r="L29" i="17"/>
  <c r="L18" i="17"/>
  <c r="AA13" i="7"/>
  <c r="AA9" i="7"/>
  <c r="AA11" i="7"/>
  <c r="AA12" i="7"/>
  <c r="AA10" i="7"/>
  <c r="AA37" i="7"/>
  <c r="K2" i="1"/>
  <c r="L2" i="1" s="1"/>
  <c r="K19" i="1"/>
  <c r="L19" i="1" s="1"/>
  <c r="K13" i="1"/>
  <c r="L13" i="1" s="1"/>
  <c r="K28" i="1"/>
  <c r="L28" i="1" s="1"/>
  <c r="K6" i="1"/>
  <c r="L6" i="1" s="1"/>
  <c r="K4" i="1"/>
  <c r="L4" i="1" s="1"/>
  <c r="K14" i="1"/>
  <c r="L14" i="1" s="1"/>
  <c r="K15" i="1"/>
  <c r="L15" i="1" s="1"/>
  <c r="K30" i="1"/>
  <c r="L30" i="1" s="1"/>
  <c r="K3" i="1"/>
  <c r="L3" i="1" s="1"/>
  <c r="K10" i="1"/>
  <c r="L10" i="1" s="1"/>
  <c r="K7" i="1"/>
  <c r="L7" i="1" s="1"/>
  <c r="K20" i="1"/>
  <c r="L20" i="1" s="1"/>
  <c r="K12" i="1"/>
  <c r="L12" i="1" s="1"/>
  <c r="K31" i="1"/>
  <c r="L31" i="1" s="1"/>
  <c r="K8" i="1"/>
  <c r="L8" i="1" s="1"/>
  <c r="K17" i="1"/>
  <c r="L17" i="1" s="1"/>
  <c r="F36" i="17" l="1"/>
  <c r="H36" i="17"/>
  <c r="H34" i="17"/>
  <c r="F34" i="17"/>
  <c r="F33" i="17"/>
  <c r="H33" i="17"/>
  <c r="H22" i="17"/>
  <c r="J26" i="17"/>
  <c r="H20" i="17"/>
  <c r="H29" i="17"/>
  <c r="H19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10</author>
  </authors>
  <commentList>
    <comment ref="I8" authorId="0" shapeId="0" xr:uid="{00000000-0006-0000-0600-000001000000}">
      <text>
        <r>
          <rPr>
            <sz val="11"/>
            <color rgb="FF000000"/>
            <rFont val="Calibri"/>
            <family val="2"/>
            <scheme val="minor"/>
          </rPr>
          <t>Windows 10:
el ph metro no leia bien por falla en bateria</t>
        </r>
      </text>
    </comment>
    <comment ref="C24" authorId="0" shapeId="0" xr:uid="{C510164D-A9F5-4D25-961A-27A952630F7A}">
      <text>
        <r>
          <rPr>
            <b/>
            <sz val="9"/>
            <color indexed="81"/>
            <rFont val="Tahoma"/>
            <family val="2"/>
          </rPr>
          <t>Windows 10:</t>
        </r>
        <r>
          <rPr>
            <sz val="9"/>
            <color indexed="81"/>
            <rFont val="Tahoma"/>
            <family val="2"/>
          </rPr>
          <t xml:space="preserve">
se rodujo como lote 64 en prensado pero quedo muy flopy y se deriva a hilado</t>
        </r>
      </text>
    </comment>
    <comment ref="C25" authorId="0" shapeId="0" xr:uid="{21C588CE-81B6-440B-A15F-1FB896D042CB}">
      <text>
        <r>
          <rPr>
            <b/>
            <sz val="9"/>
            <color indexed="81"/>
            <rFont val="Tahoma"/>
            <family val="2"/>
          </rPr>
          <t>Windows 10:</t>
        </r>
        <r>
          <rPr>
            <sz val="9"/>
            <color indexed="81"/>
            <rFont val="Tahoma"/>
            <family val="2"/>
          </rPr>
          <t xml:space="preserve">
se usaron 5 moldes prensados con sal para probar el acabado vs mozzarella</t>
        </r>
      </text>
    </comment>
    <comment ref="AJ25" authorId="0" shapeId="0" xr:uid="{E4E2A29F-3CF3-43FD-8889-C3D81EE4FCB4}">
      <text/>
    </comment>
    <comment ref="C28" authorId="0" shapeId="0" xr:uid="{E11E8A81-5477-4E52-B244-9F7B7008A05B}">
      <text>
        <r>
          <rPr>
            <b/>
            <sz val="9"/>
            <color indexed="81"/>
            <rFont val="Tahoma"/>
            <family val="2"/>
          </rPr>
          <t>Windows 10:</t>
        </r>
        <r>
          <rPr>
            <sz val="9"/>
            <color indexed="81"/>
            <rFont val="Tahoma"/>
            <family val="2"/>
          </rPr>
          <t xml:space="preserve">
seuso 5 kg de sal pero nos gano ph y se derivo para hilado</t>
        </r>
      </text>
    </comment>
    <comment ref="C29" authorId="0" shapeId="0" xr:uid="{11702A56-9375-4BA2-A3D0-1506C55F1413}">
      <text>
        <r>
          <rPr>
            <b/>
            <sz val="9"/>
            <color indexed="81"/>
            <rFont val="Tahoma"/>
            <family val="2"/>
          </rPr>
          <t>Windows 10:</t>
        </r>
        <r>
          <rPr>
            <sz val="9"/>
            <color indexed="81"/>
            <rFont val="Tahoma"/>
            <family val="2"/>
          </rPr>
          <t xml:space="preserve">
se puso 5 kg de sal pero en el acabado se veian puntos de coliformes y se mando a hilado</t>
        </r>
      </text>
    </comment>
    <comment ref="Y32" authorId="0" shapeId="0" xr:uid="{0328C44B-80B4-466C-8FFF-2A17CE066FC4}">
      <text>
        <r>
          <rPr>
            <b/>
            <sz val="9"/>
            <color indexed="81"/>
            <rFont val="Tahoma"/>
            <family val="2"/>
          </rPr>
          <t>Windows 10:</t>
        </r>
        <r>
          <rPr>
            <sz val="9"/>
            <color indexed="81"/>
            <rFont val="Tahoma"/>
            <family val="2"/>
          </rPr>
          <t xml:space="preserve">
Los pesos mas altos son q peso al dia sgte porq no alcanzo a hacerlo todo el mismo dia y los iniciales fue cuando estaba iniciando prensa</t>
        </r>
      </text>
    </comment>
    <comment ref="C35" authorId="0" shapeId="0" xr:uid="{97FCB623-FAA6-4A01-B6C1-C82E636B97AE}">
      <text>
        <r>
          <rPr>
            <b/>
            <sz val="9"/>
            <color indexed="81"/>
            <rFont val="Tahoma"/>
            <family val="2"/>
          </rPr>
          <t>Windows 10:</t>
        </r>
        <r>
          <rPr>
            <sz val="9"/>
            <color indexed="81"/>
            <rFont val="Tahoma"/>
            <family val="2"/>
          </rPr>
          <t xml:space="preserve">
no mandaron leche</t>
        </r>
      </text>
    </comment>
    <comment ref="D36" authorId="0" shapeId="0" xr:uid="{202E5FC4-0DCB-4DE3-99C7-1DB936278CED}">
      <text>
        <r>
          <rPr>
            <b/>
            <sz val="9"/>
            <color indexed="81"/>
            <rFont val="Tahoma"/>
            <family val="2"/>
          </rPr>
          <t>Windows 10:</t>
        </r>
        <r>
          <rPr>
            <sz val="9"/>
            <color indexed="81"/>
            <rFont val="Tahoma"/>
            <family val="2"/>
          </rPr>
          <t xml:space="preserve">
NUEVO PHMETRO</t>
        </r>
      </text>
    </comment>
    <comment ref="G36" authorId="0" shapeId="0" xr:uid="{8F134074-8A38-4E76-9F0B-B85836943376}">
      <text>
        <r>
          <rPr>
            <b/>
            <sz val="9"/>
            <color indexed="81"/>
            <rFont val="Tahoma"/>
            <family val="2"/>
          </rPr>
          <t>Windows 10:</t>
        </r>
        <r>
          <rPr>
            <sz val="9"/>
            <color indexed="81"/>
            <rFont val="Tahoma"/>
            <family val="2"/>
          </rPr>
          <t xml:space="preserve">
UNO PARA CADA TINA</t>
        </r>
      </text>
    </comment>
    <comment ref="C37" authorId="0" shapeId="0" xr:uid="{7C041A30-7DCF-4BD6-9DBC-FCA13615F939}">
      <text>
        <r>
          <rPr>
            <b/>
            <sz val="9"/>
            <color indexed="81"/>
            <rFont val="Tahoma"/>
            <family val="2"/>
          </rPr>
          <t>Windows 10:</t>
        </r>
        <r>
          <rPr>
            <sz val="9"/>
            <color indexed="81"/>
            <rFont val="Tahoma"/>
            <family val="2"/>
          </rPr>
          <t xml:space="preserve">
FERIADO</t>
        </r>
      </text>
    </comment>
    <comment ref="C39" authorId="0" shapeId="0" xr:uid="{7E21B79C-B867-48D3-91C3-5A119C4597A6}">
      <text>
        <r>
          <rPr>
            <b/>
            <sz val="9"/>
            <color indexed="81"/>
            <rFont val="Tahoma"/>
            <family val="2"/>
          </rPr>
          <t>Windows 10:</t>
        </r>
        <r>
          <rPr>
            <sz val="9"/>
            <color indexed="81"/>
            <rFont val="Tahoma"/>
            <family val="2"/>
          </rPr>
          <t xml:space="preserve">
no llego leche porque se corto en punto de acopio</t>
        </r>
      </text>
    </comment>
    <comment ref="J41" authorId="0" shapeId="0" xr:uid="{99D240B6-655D-48F8-A62D-0C3990DC34D7}">
      <text>
        <r>
          <rPr>
            <b/>
            <sz val="9"/>
            <color indexed="81"/>
            <rFont val="Tahoma"/>
            <family val="2"/>
          </rPr>
          <t>WindowSE HIZO CALENTAR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10</author>
  </authors>
  <commentList>
    <comment ref="H30" authorId="0" shapeId="0" xr:uid="{00000000-0006-0000-0700-000001000000}">
      <text>
        <r>
          <rPr>
            <sz val="11"/>
            <color rgb="FF000000"/>
            <rFont val="Calibri"/>
            <family val="2"/>
            <scheme val="minor"/>
          </rPr>
          <t>Windows 10:
se aumento el nivel del agua hasta cubrir las aspas y se redujo tiempo de hilado al igual que la temperatura se manejo en 65 C del agua.</t>
        </r>
      </text>
    </comment>
    <comment ref="O77" authorId="0" shapeId="0" xr:uid="{AAEFC7E7-C1BB-4C48-8E10-13DA44F3A946}">
      <text>
        <r>
          <rPr>
            <b/>
            <sz val="9"/>
            <color indexed="81"/>
            <rFont val="Tahoma"/>
            <family val="2"/>
          </rPr>
          <t>Windows 10:</t>
        </r>
        <r>
          <rPr>
            <sz val="9"/>
            <color indexed="81"/>
            <rFont val="Tahoma"/>
            <family val="2"/>
          </rPr>
          <t xml:space="preserve">
se debe restar el peso del recipiente.</t>
        </r>
      </text>
    </comment>
    <comment ref="L96" authorId="0" shapeId="0" xr:uid="{AE89B69D-54E0-4E4F-9E52-039FE2BEF09D}">
      <text>
        <r>
          <rPr>
            <b/>
            <sz val="9"/>
            <color indexed="81"/>
            <rFont val="Tahoma"/>
            <family val="2"/>
          </rPr>
          <t>Windows 10:</t>
        </r>
        <r>
          <rPr>
            <sz val="9"/>
            <color indexed="81"/>
            <rFont val="Tahoma"/>
            <family val="2"/>
          </rPr>
          <t xml:space="preserve">
reproceso</t>
        </r>
      </text>
    </comment>
    <comment ref="D127" authorId="0" shapeId="0" xr:uid="{87C4C991-75A9-49A5-9A7E-4DBD666C69A7}">
      <text>
        <r>
          <rPr>
            <b/>
            <sz val="9"/>
            <color indexed="81"/>
            <rFont val="Tahoma"/>
            <family val="2"/>
          </rPr>
          <t>Windows 10:</t>
        </r>
        <r>
          <rPr>
            <sz val="9"/>
            <color indexed="81"/>
            <rFont val="Tahoma"/>
            <family val="2"/>
          </rPr>
          <t xml:space="preserve">
QUESO PRENSADO REPROCESADO Q TIENE ALMIDON SALIO GOMOSO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10</author>
  </authors>
  <commentList>
    <comment ref="E24" authorId="0" shapeId="0" xr:uid="{CE083814-6574-4DC5-91B2-313AE9E43309}">
      <text>
        <r>
          <rPr>
            <b/>
            <sz val="9"/>
            <color indexed="81"/>
            <rFont val="Tahoma"/>
            <family val="2"/>
          </rPr>
          <t>Windows 10:</t>
        </r>
        <r>
          <rPr>
            <sz val="9"/>
            <color indexed="81"/>
            <rFont val="Tahoma"/>
            <family val="2"/>
          </rPr>
          <t xml:space="preserve">
CUAJADA Q SE HIZO CON ALMIDON Y A PRENSA, RESULTO MUY BLANDO Y SE DERIVO A CHEDDAR</t>
        </r>
      </text>
    </comment>
    <comment ref="E30" authorId="0" shapeId="0" xr:uid="{E943D30E-0E6C-44AB-8918-25A90290CC82}">
      <text>
        <r>
          <rPr>
            <b/>
            <sz val="9"/>
            <color indexed="81"/>
            <rFont val="Tahoma"/>
            <family val="2"/>
          </rPr>
          <t>Windows 10:</t>
        </r>
        <r>
          <rPr>
            <sz val="9"/>
            <color indexed="81"/>
            <rFont val="Tahoma"/>
            <family val="2"/>
          </rPr>
          <t xml:space="preserve">
SE prenso la mayoria de la cuajada sin hilar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10</author>
  </authors>
  <commentList>
    <comment ref="C41" authorId="0" shapeId="0" xr:uid="{C5164527-D713-4084-9F4F-2402EBAFB6DB}">
      <text>
        <r>
          <rPr>
            <b/>
            <sz val="9"/>
            <color indexed="81"/>
            <rFont val="Tahoma"/>
            <family val="2"/>
          </rPr>
          <t>Windows 10:</t>
        </r>
        <r>
          <rPr>
            <sz val="9"/>
            <color indexed="81"/>
            <rFont val="Tahoma"/>
            <family val="2"/>
          </rPr>
          <t xml:space="preserve">
este lote presenta humeda en la parte superior y esta un poco blando</t>
        </r>
      </text>
    </comment>
  </commentList>
</comments>
</file>

<file path=xl/sharedStrings.xml><?xml version="1.0" encoding="utf-8"?>
<sst xmlns="http://schemas.openxmlformats.org/spreadsheetml/2006/main" count="1590" uniqueCount="645">
  <si>
    <t>N°</t>
  </si>
  <si>
    <t>NOMBRE</t>
  </si>
  <si>
    <t>PRESENTACION</t>
  </si>
  <si>
    <t>ESTADO</t>
  </si>
  <si>
    <t>PROVEEDOR</t>
  </si>
  <si>
    <t>EXPIRACION</t>
  </si>
  <si>
    <t>ENTRADA</t>
  </si>
  <si>
    <t>STOCK MINIMO</t>
  </si>
  <si>
    <t>CONDICION</t>
  </si>
  <si>
    <t>STOCK INICIAL</t>
  </si>
  <si>
    <t>STOCK OCUPADO</t>
  </si>
  <si>
    <t>STOCK RESTANTE</t>
  </si>
  <si>
    <t>STOC DEL DIA 03/02/2026</t>
  </si>
  <si>
    <t>SAZONADOR DE QUESO CHEDDAR EN POLVO</t>
  </si>
  <si>
    <t>BOLSA DE 25 KG</t>
  </si>
  <si>
    <t>SOLIDO- POLVO NARANJA</t>
  </si>
  <si>
    <t>ALSEC - NUTRALIM</t>
  </si>
  <si>
    <t>KG</t>
  </si>
  <si>
    <t>COLORANTE URUCUM DE ACHIOTE</t>
  </si>
  <si>
    <t>BIDON 20 L</t>
  </si>
  <si>
    <t>LIQUIDO - NARANJA</t>
  </si>
  <si>
    <t>L</t>
  </si>
  <si>
    <t>ESENCIA QUESO CHEDDAR RB 2831</t>
  </si>
  <si>
    <t>FRASCO DE 1 L</t>
  </si>
  <si>
    <t>LIQUIDO - TRANSLUCIDO</t>
  </si>
  <si>
    <t>SAPORITI</t>
  </si>
  <si>
    <t>ESENCIA SABOR CREMA RB 2784</t>
  </si>
  <si>
    <t>MAYOR A 0.5</t>
  </si>
  <si>
    <t>ACIDO FOSFORICO AL 85%</t>
  </si>
  <si>
    <t>AMERICANA - CBBA</t>
  </si>
  <si>
    <t>ACIDO LACTICO AL 80%</t>
  </si>
  <si>
    <t>FRASCO DE 1 KG</t>
  </si>
  <si>
    <t xml:space="preserve">ACIDO CITRICO </t>
  </si>
  <si>
    <t>SOLIDO - TEXTURA TIPO AZUCAR</t>
  </si>
  <si>
    <t>z</t>
  </si>
  <si>
    <t>ALCOHOL ETILICO 70%</t>
  </si>
  <si>
    <t>BIDON DE 10 L</t>
  </si>
  <si>
    <t>LIQUIDO INCOLORO</t>
  </si>
  <si>
    <t>SOLQUIFAR</t>
  </si>
  <si>
    <t>MAYOR A 5</t>
  </si>
  <si>
    <t>BICARBONATO DE SODIO</t>
  </si>
  <si>
    <t>SOLIDO - POLVO BLANCO</t>
  </si>
  <si>
    <t>PROQUINSA</t>
  </si>
  <si>
    <t>PERFECTAMYL GEL</t>
  </si>
  <si>
    <t>AVEBE ROYAL</t>
  </si>
  <si>
    <t>MAYOR A 10</t>
  </si>
  <si>
    <t>ALMIDON MODIFICADO</t>
  </si>
  <si>
    <t>SOLIDO - POLVO</t>
  </si>
  <si>
    <t>LORENZ</t>
  </si>
  <si>
    <t>SAL ICL</t>
  </si>
  <si>
    <t>ALT - IND BRASILENA</t>
  </si>
  <si>
    <t>CLORURO DE CALCIO</t>
  </si>
  <si>
    <t>IND. CHINA</t>
  </si>
  <si>
    <t>GELATINA EN POLVO</t>
  </si>
  <si>
    <t>SOLIDO - GRANULOSO AMARILLENTO</t>
  </si>
  <si>
    <t>ROUSSELOT - ALICAMP</t>
  </si>
  <si>
    <t>AGUA DESIONIZADA</t>
  </si>
  <si>
    <t>TELCHI</t>
  </si>
  <si>
    <t>SUERO EN POLVO</t>
  </si>
  <si>
    <t>SOLIDO - POLVO AMARILLENTO</t>
  </si>
  <si>
    <t>SANTA MARIA - MIGUEL PERETTI</t>
  </si>
  <si>
    <t>HIDROXIDO DE SODIO 0.11 N</t>
  </si>
  <si>
    <t>MAYOR A 0.25</t>
  </si>
  <si>
    <t>AGAR AGAR</t>
  </si>
  <si>
    <t>BOLSA DE 1 KG</t>
  </si>
  <si>
    <t>NUTRALIM</t>
  </si>
  <si>
    <t>MAYOR A 2</t>
  </si>
  <si>
    <t>SORBATO DE POTASIO</t>
  </si>
  <si>
    <t>SOLIDO - TEXTURA GRANULADA</t>
  </si>
  <si>
    <t>MAYOR A 0,5</t>
  </si>
  <si>
    <t>GOMA XANTANA</t>
  </si>
  <si>
    <t>VAINILLA</t>
  </si>
  <si>
    <t>FRASCO 1/2 L</t>
  </si>
  <si>
    <t>LIQUIDO</t>
  </si>
  <si>
    <t>BIOTAL</t>
  </si>
  <si>
    <t>GLUCOSA</t>
  </si>
  <si>
    <t>BALDE  DE 20 KG</t>
  </si>
  <si>
    <t>MAPRIAL</t>
  </si>
  <si>
    <t>MAYOR 15</t>
  </si>
  <si>
    <t>HIDROXIDO DE SODIO</t>
  </si>
  <si>
    <t>SOLIDO - BLANCO CRISTALINO</t>
  </si>
  <si>
    <t>MAYOR A 1</t>
  </si>
  <si>
    <t>SOLUCION DESINFECTANTE 15%</t>
  </si>
  <si>
    <t>BIDON DE 20 KG</t>
  </si>
  <si>
    <t>SPARTAN</t>
  </si>
  <si>
    <t>CLOROCLEAN</t>
  </si>
  <si>
    <t>HIPROX 500 - PEROXIDO DE HIDROGENO</t>
  </si>
  <si>
    <t>EVONIK</t>
  </si>
  <si>
    <t>MANTEQUILLA</t>
  </si>
  <si>
    <t>BIDON</t>
  </si>
  <si>
    <t>AZUCAR</t>
  </si>
  <si>
    <t>BOLSA  DE 25 KG</t>
  </si>
  <si>
    <t>SOLIDO</t>
  </si>
  <si>
    <t>AGUAI</t>
  </si>
  <si>
    <t>FERMENTO HANSEN</t>
  </si>
  <si>
    <t>BOLSA  DE 0,025 KG</t>
  </si>
  <si>
    <t>MAYOR</t>
  </si>
  <si>
    <t>CUAJO ALBAMAX</t>
  </si>
  <si>
    <t>FRASCO DE 0,500 KG</t>
  </si>
  <si>
    <t>ALBAMAX</t>
  </si>
  <si>
    <t>MAYOR 1</t>
  </si>
  <si>
    <t>INSUMOS GRULAC S.R.L.</t>
  </si>
  <si>
    <t>NAN</t>
  </si>
  <si>
    <t>NAN_1</t>
  </si>
  <si>
    <t>NAN_2</t>
  </si>
  <si>
    <t>NAN_3</t>
  </si>
  <si>
    <t>NAN_4</t>
  </si>
  <si>
    <t>NAN_5</t>
  </si>
  <si>
    <t>NAN_6</t>
  </si>
  <si>
    <t>NAN_7</t>
  </si>
  <si>
    <t>NAN_8</t>
  </si>
  <si>
    <t>NAN_9</t>
  </si>
  <si>
    <t>NAN_10</t>
  </si>
  <si>
    <t>UNIDAD</t>
  </si>
  <si>
    <t>STOCK</t>
  </si>
  <si>
    <t>ACIDO CITRICO ANHIDRIDO</t>
  </si>
  <si>
    <t>SIN EMPRESA</t>
  </si>
  <si>
    <t>S/F</t>
  </si>
  <si>
    <t>24 MESES</t>
  </si>
  <si>
    <t>CLORURO DE SODIO</t>
  </si>
  <si>
    <t>NO VISIBLE</t>
  </si>
  <si>
    <t>AGAR - AGAR</t>
  </si>
  <si>
    <t>SABOR PARMESANO</t>
  </si>
  <si>
    <t>NOVALCRUZ</t>
  </si>
  <si>
    <t>GRASA DE PALMA</t>
  </si>
  <si>
    <t>BOLSA EN CAJA DE 24 KG</t>
  </si>
  <si>
    <t>SOLIDO - BLANCO MANTECOSO</t>
  </si>
  <si>
    <t>AGROPALMA</t>
  </si>
  <si>
    <t>ACEITE COMESTIBLE</t>
  </si>
  <si>
    <t>BOLSA EN CAJA DE 20 KG</t>
  </si>
  <si>
    <t>SOLIDO- BLANCO MANTECOSO</t>
  </si>
  <si>
    <t>FINCA DELAZO</t>
  </si>
  <si>
    <t>RECETA CHEDDAR FINAL</t>
  </si>
  <si>
    <t>Ingrediente</t>
  </si>
  <si>
    <t>Porcentaje</t>
  </si>
  <si>
    <t>52 Kilos</t>
  </si>
  <si>
    <t>50 Kilos</t>
  </si>
  <si>
    <t>104 Kilos</t>
  </si>
  <si>
    <t>Cuajada</t>
  </si>
  <si>
    <t>Mantequilla</t>
  </si>
  <si>
    <t>Agua</t>
  </si>
  <si>
    <t>Suero</t>
  </si>
  <si>
    <t>Sal ICL</t>
  </si>
  <si>
    <t>Almidon</t>
  </si>
  <si>
    <t>Saborizante</t>
  </si>
  <si>
    <t>A. Lactico</t>
  </si>
  <si>
    <t>A. Citrico</t>
  </si>
  <si>
    <t>A. Fosforico</t>
  </si>
  <si>
    <t>Sorbato</t>
  </si>
  <si>
    <t>Gelatina</t>
  </si>
  <si>
    <t>Color</t>
  </si>
  <si>
    <t>Esencia</t>
  </si>
  <si>
    <t>Total</t>
  </si>
  <si>
    <t>RECETA DULCE REPOSTERO</t>
  </si>
  <si>
    <t>Proporcion</t>
  </si>
  <si>
    <t>220 litros</t>
  </si>
  <si>
    <t>240 litros</t>
  </si>
  <si>
    <t>Porcentaje (%)</t>
  </si>
  <si>
    <t>LECHE</t>
  </si>
  <si>
    <t>1,50 g/litro</t>
  </si>
  <si>
    <t>SORBATO</t>
  </si>
  <si>
    <t>0,30 g/litro</t>
  </si>
  <si>
    <t>ALMIDON PERFECTAMYL</t>
  </si>
  <si>
    <t>16 g/litro</t>
  </si>
  <si>
    <t>0,025 g/litro</t>
  </si>
  <si>
    <t>0,535 g/litro</t>
  </si>
  <si>
    <t>TOTAL</t>
  </si>
  <si>
    <t>RECETA DULCE FAMILIAR</t>
  </si>
  <si>
    <t>1,16 g/litro</t>
  </si>
  <si>
    <t>8 g/litro</t>
  </si>
  <si>
    <t>Fecha</t>
  </si>
  <si>
    <t>Tipo</t>
  </si>
  <si>
    <t>Registro</t>
  </si>
  <si>
    <t>Recepcion</t>
  </si>
  <si>
    <t>Materia Prima y Aditivos  (kg)</t>
  </si>
  <si>
    <t>Control 1°</t>
  </si>
  <si>
    <t>Control 2°</t>
  </si>
  <si>
    <t>Control 3°</t>
  </si>
  <si>
    <t>Control 4°</t>
  </si>
  <si>
    <t>Control 5°</t>
  </si>
  <si>
    <t>Control 6°</t>
  </si>
  <si>
    <t>Control 7° (ENVASADO)</t>
  </si>
  <si>
    <t>Producto Obtenido (Kg)</t>
  </si>
  <si>
    <t>Rendimiento</t>
  </si>
  <si>
    <t>Presentacion</t>
  </si>
  <si>
    <t>Hora</t>
  </si>
  <si>
    <t>pH</t>
  </si>
  <si>
    <t>Acidez (D°)</t>
  </si>
  <si>
    <t>AGAR -AGAR</t>
  </si>
  <si>
    <t>Grados Bx°</t>
  </si>
  <si>
    <t>P. General</t>
  </si>
  <si>
    <t>P. Entrada</t>
  </si>
  <si>
    <t>Balde (5 Kg)</t>
  </si>
  <si>
    <t>Balde (1 Kg)</t>
  </si>
  <si>
    <t>Envases (250 g)</t>
  </si>
  <si>
    <t>Mezclado</t>
  </si>
  <si>
    <t>Coccion</t>
  </si>
  <si>
    <t>Final</t>
  </si>
  <si>
    <t>Familiar</t>
  </si>
  <si>
    <t>SI</t>
  </si>
  <si>
    <t>-</t>
  </si>
  <si>
    <t>Repostero</t>
  </si>
  <si>
    <t>3,1/2,4</t>
  </si>
  <si>
    <t>50 / 51,2</t>
  </si>
  <si>
    <t>3,5 / 2,5</t>
  </si>
  <si>
    <t>2,5 / 4,5</t>
  </si>
  <si>
    <t>65 / 67</t>
  </si>
  <si>
    <t>4,5 / 1,5</t>
  </si>
  <si>
    <t>68 / 71,5</t>
  </si>
  <si>
    <t>72 / 76</t>
  </si>
  <si>
    <t>45 / 46,1</t>
  </si>
  <si>
    <t>2,8 / 2,5</t>
  </si>
  <si>
    <t>52 / 57,5</t>
  </si>
  <si>
    <t>3 / 2,5</t>
  </si>
  <si>
    <t>52 / 51,5</t>
  </si>
  <si>
    <t>2,5 / 2</t>
  </si>
  <si>
    <t>59 / 60,7</t>
  </si>
  <si>
    <t>66 / 68,5</t>
  </si>
  <si>
    <t>69 / 70</t>
  </si>
  <si>
    <t>1,8 / 2</t>
  </si>
  <si>
    <t>39 / 39,4</t>
  </si>
  <si>
    <t>4 / 2,75</t>
  </si>
  <si>
    <t>46 / 45</t>
  </si>
  <si>
    <t>46 / 49</t>
  </si>
  <si>
    <t>53 / 55</t>
  </si>
  <si>
    <t>4,2 / 2,1</t>
  </si>
  <si>
    <t>58 / 59,6</t>
  </si>
  <si>
    <t>64 / 65,3</t>
  </si>
  <si>
    <t>68 / 70,5</t>
  </si>
  <si>
    <t>5 / 2,5</t>
  </si>
  <si>
    <t>5/ 2,8</t>
  </si>
  <si>
    <t>4,7 / 3</t>
  </si>
  <si>
    <t>53 / 54</t>
  </si>
  <si>
    <t>4 / 2,3</t>
  </si>
  <si>
    <t>57 / 59</t>
  </si>
  <si>
    <t>37 / 38,7</t>
  </si>
  <si>
    <t>7,5 / 1,5</t>
  </si>
  <si>
    <t>44 / 45,2</t>
  </si>
  <si>
    <t>4 / 1,6</t>
  </si>
  <si>
    <t>45 / 45,3</t>
  </si>
  <si>
    <t>49 / 50,3</t>
  </si>
  <si>
    <t>3,5 / 1,5</t>
  </si>
  <si>
    <t>55 / 59,7</t>
  </si>
  <si>
    <t>3,7 / 1,4</t>
  </si>
  <si>
    <t>58 / 61</t>
  </si>
  <si>
    <t>3 / 1,5</t>
  </si>
  <si>
    <t>63 / 66,1</t>
  </si>
  <si>
    <t>2,7 / 1,8</t>
  </si>
  <si>
    <t>41 / 42,9</t>
  </si>
  <si>
    <t>3,2 / 1,8</t>
  </si>
  <si>
    <t>43 / 43,5</t>
  </si>
  <si>
    <t>42 / 41,4</t>
  </si>
  <si>
    <t>2,5 / 1,4</t>
  </si>
  <si>
    <t>45 / 42,9</t>
  </si>
  <si>
    <t>57 / 58</t>
  </si>
  <si>
    <t>2,5 / 1,6</t>
  </si>
  <si>
    <t>62 / 65</t>
  </si>
  <si>
    <t>59 / 72</t>
  </si>
  <si>
    <t>si</t>
  </si>
  <si>
    <t>40 / 38,9</t>
  </si>
  <si>
    <t>4,5 / 1,8</t>
  </si>
  <si>
    <t>48 / 49,7</t>
  </si>
  <si>
    <t>3,5 / 1,9</t>
  </si>
  <si>
    <t>50 / 51</t>
  </si>
  <si>
    <t>49 / 51</t>
  </si>
  <si>
    <t>3 / 1,9</t>
  </si>
  <si>
    <t>69 / 71</t>
  </si>
  <si>
    <t>FECHA</t>
  </si>
  <si>
    <t>LOTE</t>
  </si>
  <si>
    <t>CANTIDAD (BOLSAS)</t>
  </si>
  <si>
    <t>PESO TOTAL (KG)</t>
  </si>
  <si>
    <t>PESADO DE MATERIA, ADITIVOS Y CONSERVANTES</t>
  </si>
  <si>
    <t>ENVASADO</t>
  </si>
  <si>
    <t>SUERO EN POLVO (KG)</t>
  </si>
  <si>
    <t>AGUA (KG)</t>
  </si>
  <si>
    <t>CUAJADA (KG)</t>
  </si>
  <si>
    <t>SAL ICL (KG)</t>
  </si>
  <si>
    <t>MANTEQUILLA (KG)</t>
  </si>
  <si>
    <t>GELATINA EN POLVO (KG)</t>
  </si>
  <si>
    <t>PERFECTAMYL EN GEL (KG)</t>
  </si>
  <si>
    <t>ACIDO LACTICO 10 % (KG)</t>
  </si>
  <si>
    <t>ACIDO FOSFORICO 10 % (KG)</t>
  </si>
  <si>
    <t>ACIDO CITRICO 10 % (KG)</t>
  </si>
  <si>
    <t>SORBATO DE POTASIO (KG)</t>
  </si>
  <si>
    <t>SABOR CHEDDAR (KG)</t>
  </si>
  <si>
    <t>COLOR (KG)</t>
  </si>
  <si>
    <t>AROMA/ESENCIA (KG)</t>
  </si>
  <si>
    <t>SAL (KG)</t>
  </si>
  <si>
    <t>TEMPERATURA (°C)</t>
  </si>
  <si>
    <t>HORA INICIAL</t>
  </si>
  <si>
    <t>HORA FINAL</t>
  </si>
  <si>
    <t>0202261200CHL</t>
  </si>
  <si>
    <t>0202261500CHL</t>
  </si>
  <si>
    <t>040226</t>
  </si>
  <si>
    <t>VOLUMEN DE LECHE</t>
  </si>
  <si>
    <t>PH INICIAL</t>
  </si>
  <si>
    <t>HORA AGREGADO FERMENTO</t>
  </si>
  <si>
    <t>MASA DE FERMENTO</t>
  </si>
  <si>
    <t>MARCA FERMENTO</t>
  </si>
  <si>
    <t>PH AGREGADO DE FERMENTO</t>
  </si>
  <si>
    <t>TEMPERATURA</t>
  </si>
  <si>
    <t>MASA CaCl2 [g]</t>
  </si>
  <si>
    <t>HORA DE AGREGADO CaCl2</t>
  </si>
  <si>
    <t>HORA DE AGREGADO DE CUAJO</t>
  </si>
  <si>
    <t>masa de cuajo [g]</t>
  </si>
  <si>
    <t>ph inicial</t>
  </si>
  <si>
    <t>temperaturafinal</t>
  </si>
  <si>
    <t>Hora corte de cuajada</t>
  </si>
  <si>
    <t>Temperatura final</t>
  </si>
  <si>
    <t>ph final</t>
  </si>
  <si>
    <t>hora de vaciado</t>
  </si>
  <si>
    <t>hora inicial de preprensado</t>
  </si>
  <si>
    <t>hora final de ingreso a camara</t>
  </si>
  <si>
    <t>ph final de ingreso a camara</t>
  </si>
  <si>
    <t>temperatura</t>
  </si>
  <si>
    <t>121225STM</t>
  </si>
  <si>
    <t>6,53/32,2</t>
  </si>
  <si>
    <t>2 BOLSAS DE 1000</t>
  </si>
  <si>
    <t>ST081SACCO</t>
  </si>
  <si>
    <t>42/43</t>
  </si>
  <si>
    <t>6,5/36,8</t>
  </si>
  <si>
    <t>3 bolsas</t>
  </si>
  <si>
    <t>6,68/6,64</t>
  </si>
  <si>
    <t>6,93/6,84</t>
  </si>
  <si>
    <t>6,58/37</t>
  </si>
  <si>
    <t>criollo</t>
  </si>
  <si>
    <t>6,14/6,83</t>
  </si>
  <si>
    <t>HANSEN</t>
  </si>
  <si>
    <t>PESO CUAJADA [kg]</t>
  </si>
  <si>
    <t>PESO ALMIDON [GR]</t>
  </si>
  <si>
    <t>PH FINAL</t>
  </si>
  <si>
    <t>TIEMPO HILADO</t>
  </si>
  <si>
    <t>MOLDE 1</t>
  </si>
  <si>
    <t>TOTAL [kg]</t>
  </si>
  <si>
    <t>RENDIMIENTO</t>
  </si>
  <si>
    <t>091225TM</t>
  </si>
  <si>
    <t>091225/101225</t>
  </si>
  <si>
    <t>101225TM</t>
  </si>
  <si>
    <t>101225/121225</t>
  </si>
  <si>
    <t>121225/111225</t>
  </si>
  <si>
    <t>5,6/5,3</t>
  </si>
  <si>
    <t>4,54/5,3</t>
  </si>
  <si>
    <t>201225/191225</t>
  </si>
  <si>
    <t>sa</t>
  </si>
  <si>
    <t>080126-20/090126</t>
  </si>
  <si>
    <t>130126/140126-2</t>
  </si>
  <si>
    <t>130126/140126-1</t>
  </si>
  <si>
    <t>130126/14-2/14-1</t>
  </si>
  <si>
    <t>130126/150126</t>
  </si>
  <si>
    <t>190126/150126</t>
  </si>
  <si>
    <t>130126/160126</t>
  </si>
  <si>
    <t>160126/150126</t>
  </si>
  <si>
    <t>150126/170126</t>
  </si>
  <si>
    <t>290126-300126</t>
  </si>
  <si>
    <t>300126-310126</t>
  </si>
  <si>
    <t>1,453</t>
  </si>
  <si>
    <t>AGUA</t>
  </si>
  <si>
    <t>PERFECTAMYL EN GEL</t>
  </si>
  <si>
    <t>ACIDO CITRICO</t>
  </si>
  <si>
    <t>COLORANTE DE URUCUM ACHIOTE</t>
  </si>
  <si>
    <t>ESENCIA DE QUESO CHEDDAR RB 2831</t>
  </si>
  <si>
    <t>stock 04/02</t>
  </si>
  <si>
    <t>0502260900CHL</t>
  </si>
  <si>
    <t>STOCK DEL 05</t>
  </si>
  <si>
    <t xml:space="preserve">  11:00:00</t>
  </si>
  <si>
    <t>p/1500</t>
  </si>
  <si>
    <t>664/664</t>
  </si>
  <si>
    <t>9:00/9:52</t>
  </si>
  <si>
    <t>10:02/10:48</t>
  </si>
  <si>
    <t>25/25</t>
  </si>
  <si>
    <t>6,64/6,64</t>
  </si>
  <si>
    <t>36,1/35,5</t>
  </si>
  <si>
    <t>160/150</t>
  </si>
  <si>
    <t>10:02/10:53</t>
  </si>
  <si>
    <t>10:20/11:17</t>
  </si>
  <si>
    <t>20/24</t>
  </si>
  <si>
    <t>6,61/6,6</t>
  </si>
  <si>
    <t>36,1/37,2</t>
  </si>
  <si>
    <t>11:00/12:00</t>
  </si>
  <si>
    <t>43/44</t>
  </si>
  <si>
    <t>6,3/6,53</t>
  </si>
  <si>
    <t>11:55/13:15</t>
  </si>
  <si>
    <t>12/13:35</t>
  </si>
  <si>
    <t>13:40/14:30</t>
  </si>
  <si>
    <t>5,85/5,55</t>
  </si>
  <si>
    <t>39/39</t>
  </si>
  <si>
    <t>12;10</t>
  </si>
  <si>
    <t>6,57/6,57</t>
  </si>
  <si>
    <t>8:20/9:10</t>
  </si>
  <si>
    <t>9:16/9:18</t>
  </si>
  <si>
    <t>50/25</t>
  </si>
  <si>
    <t>34,8/35,5</t>
  </si>
  <si>
    <t>280/120</t>
  </si>
  <si>
    <t>09:17:00/9:56</t>
  </si>
  <si>
    <t>9:39/10:38</t>
  </si>
  <si>
    <t>29/19</t>
  </si>
  <si>
    <t>6,56/6,60</t>
  </si>
  <si>
    <t>35,5/35</t>
  </si>
  <si>
    <t>ST-081 SACCO</t>
  </si>
  <si>
    <t>1 sobre</t>
  </si>
  <si>
    <t>170126/lote 10</t>
  </si>
  <si>
    <t>170126/150126</t>
  </si>
  <si>
    <t>170126/2001/lote 10</t>
  </si>
  <si>
    <t>200126/lote 10</t>
  </si>
  <si>
    <t>lote 10/200126</t>
  </si>
  <si>
    <t>23/24-4</t>
  </si>
  <si>
    <t>queso criollo</t>
  </si>
  <si>
    <t>masa total cuajada</t>
  </si>
  <si>
    <t xml:space="preserve"> </t>
  </si>
  <si>
    <t xml:space="preserve">  </t>
  </si>
  <si>
    <t>FECHA ENVASADO</t>
  </si>
  <si>
    <t>TIPO</t>
  </si>
  <si>
    <t>R</t>
  </si>
  <si>
    <t>0,5 KG</t>
  </si>
  <si>
    <t>11/3,5-22/0,5</t>
  </si>
  <si>
    <t>3,5/0,5</t>
  </si>
  <si>
    <t>10/3,5-10/0,5</t>
  </si>
  <si>
    <t>FECHA HILADO</t>
  </si>
  <si>
    <t>NUMERACION</t>
  </si>
  <si>
    <t>UNIDADES</t>
  </si>
  <si>
    <t>FECHA VENCIMIENTO</t>
  </si>
  <si>
    <t>Q.M.</t>
  </si>
  <si>
    <t>PESO ENVASADO</t>
  </si>
  <si>
    <t>PRODUCTOR</t>
  </si>
  <si>
    <t>HORA LLEGADA</t>
  </si>
  <si>
    <t>VOLUMEN LECHE [L]</t>
  </si>
  <si>
    <t>PRUEBA ALCOHOL</t>
  </si>
  <si>
    <t>PH</t>
  </si>
  <si>
    <t>SNG &lt;7%</t>
  </si>
  <si>
    <t>% GRASA &gt;3%</t>
  </si>
  <si>
    <t>DENSIDAD [Q]</t>
  </si>
  <si>
    <t>P. CONGELAMIENTO &gt;52</t>
  </si>
  <si>
    <t>PROTEINA &gt;3%</t>
  </si>
  <si>
    <t>OBSERVACION</t>
  </si>
  <si>
    <t>SR</t>
  </si>
  <si>
    <t>TEMPERATURA [C]</t>
  </si>
  <si>
    <t>CELULAS SOMATICAS &lt;400 e3/ml</t>
  </si>
  <si>
    <t>ACIDEZ [D]</t>
  </si>
  <si>
    <t>NO</t>
  </si>
  <si>
    <t>%H2O &lt;8,5%</t>
  </si>
  <si>
    <t>REPETICIONES</t>
  </si>
  <si>
    <t>DESCREMADA</t>
  </si>
  <si>
    <t>MASA CUAJADA [KG]</t>
  </si>
  <si>
    <t>MASA INICIO HILADO[KG]</t>
  </si>
  <si>
    <t>MASA FINAL HILADO [KG]</t>
  </si>
  <si>
    <t>MASA PRODUCTO FINAL [KG]</t>
  </si>
  <si>
    <t>RELACION L/kg</t>
  </si>
  <si>
    <t>NUMERO DE LOTE</t>
  </si>
  <si>
    <t>ANTIBIOTICOS SI/NO</t>
  </si>
  <si>
    <t xml:space="preserve">FECHA </t>
  </si>
  <si>
    <t>PRODUCTO</t>
  </si>
  <si>
    <t>CANTIDAD</t>
  </si>
  <si>
    <t>OPERARIO</t>
  </si>
  <si>
    <t>Q.M</t>
  </si>
  <si>
    <t>RESIDUO (KG)</t>
  </si>
  <si>
    <t>ALEJANDRO</t>
  </si>
  <si>
    <t>WILBER</t>
  </si>
  <si>
    <t>DESCREMANDO</t>
  </si>
  <si>
    <t>TINA LLENA</t>
  </si>
  <si>
    <t>BLANDO (RESIDUAL)</t>
  </si>
  <si>
    <t>NO HUBO LECHE</t>
  </si>
  <si>
    <t>BLANDO (RESIDUAL</t>
  </si>
  <si>
    <t>DESUERADO</t>
  </si>
  <si>
    <t>11:54/12:20</t>
  </si>
  <si>
    <t>12:34/12:51</t>
  </si>
  <si>
    <t>31,2/31,1</t>
  </si>
  <si>
    <t>340/340</t>
  </si>
  <si>
    <t>12:40/12:55</t>
  </si>
  <si>
    <t>12:46/13:24</t>
  </si>
  <si>
    <t>31/31</t>
  </si>
  <si>
    <t>6,54/6,53</t>
  </si>
  <si>
    <t>36,6/36,4</t>
  </si>
  <si>
    <t>13:16/13:58</t>
  </si>
  <si>
    <t>40,1/40</t>
  </si>
  <si>
    <t>6,46/6,44</t>
  </si>
  <si>
    <t>14:07/14:58</t>
  </si>
  <si>
    <t>MASA PRENSADA [KG]</t>
  </si>
  <si>
    <t>09:10/09:44</t>
  </si>
  <si>
    <t>10:05/10:15</t>
  </si>
  <si>
    <t>36,4/31,3</t>
  </si>
  <si>
    <t>10:10/10:45</t>
  </si>
  <si>
    <t>38,5/38,5</t>
  </si>
  <si>
    <t>6,54/6,50</t>
  </si>
  <si>
    <t>36,4/36,3</t>
  </si>
  <si>
    <t>10:37/11::13</t>
  </si>
  <si>
    <t>6,45/6,44</t>
  </si>
  <si>
    <t>11:31/12:334</t>
  </si>
  <si>
    <t>11:55/12:20</t>
  </si>
  <si>
    <t>13:25/13:30</t>
  </si>
  <si>
    <t>5,65/5,88</t>
  </si>
  <si>
    <t>40,5/39,6</t>
  </si>
  <si>
    <t>Q.C</t>
  </si>
  <si>
    <t>Q.P</t>
  </si>
  <si>
    <t>1,528 DESECHO CON PINTURA Y BASURA</t>
  </si>
  <si>
    <t>MIGUEL</t>
  </si>
  <si>
    <t>0,370 DESECHO</t>
  </si>
  <si>
    <t>0,864 DESECHO</t>
  </si>
  <si>
    <t>1,29 DESECHO</t>
  </si>
  <si>
    <t>1002261400CHL</t>
  </si>
  <si>
    <t>1102261400CHL</t>
  </si>
  <si>
    <t>1202261000CHL</t>
  </si>
  <si>
    <t>1202261430CHL</t>
  </si>
  <si>
    <t>1302261400CHL</t>
  </si>
  <si>
    <t>1202261600CHL</t>
  </si>
  <si>
    <t>1302260800CHL</t>
  </si>
  <si>
    <t>1302261100CHL</t>
  </si>
  <si>
    <t>29,5/29,6</t>
  </si>
  <si>
    <t>34/34,3</t>
  </si>
  <si>
    <t>39/38,7</t>
  </si>
  <si>
    <t>62/65,6</t>
  </si>
  <si>
    <t>67/68,5</t>
  </si>
  <si>
    <t>33/32</t>
  </si>
  <si>
    <t>2,9/2,4</t>
  </si>
  <si>
    <t>36/37,8</t>
  </si>
  <si>
    <t>48/48,9</t>
  </si>
  <si>
    <t>2,5/2,2</t>
  </si>
  <si>
    <t>55,5/55</t>
  </si>
  <si>
    <t>2,5/2,1</t>
  </si>
  <si>
    <t>64/64,5</t>
  </si>
  <si>
    <t>3/2,5</t>
  </si>
  <si>
    <t>3,4/2,8</t>
  </si>
  <si>
    <t>65/66</t>
  </si>
  <si>
    <t>3,3/2</t>
  </si>
  <si>
    <t>30/28,5</t>
  </si>
  <si>
    <t>2,9/2,5</t>
  </si>
  <si>
    <t>34/35,3</t>
  </si>
  <si>
    <t>4/3,3</t>
  </si>
  <si>
    <t>4/2,5</t>
  </si>
  <si>
    <t>62/61,2</t>
  </si>
  <si>
    <t>LECHE MUY ACIDA</t>
  </si>
  <si>
    <t>LECHE DECREMADA</t>
  </si>
  <si>
    <t>LECHE DESCREMADA</t>
  </si>
  <si>
    <t>30/31</t>
  </si>
  <si>
    <t>41,5/41,9</t>
  </si>
  <si>
    <t>3/2,4</t>
  </si>
  <si>
    <t>49/51</t>
  </si>
  <si>
    <t>3/2,50</t>
  </si>
  <si>
    <t>62/64</t>
  </si>
  <si>
    <t>2,8/1,8</t>
  </si>
  <si>
    <t>65/67</t>
  </si>
  <si>
    <t>2,70/1,8</t>
  </si>
  <si>
    <t>1802261100CHL</t>
  </si>
  <si>
    <t>1808261330CHL</t>
  </si>
  <si>
    <t>1902261000CHL</t>
  </si>
  <si>
    <t>1902261300CHL</t>
  </si>
  <si>
    <t>1402-1802</t>
  </si>
  <si>
    <t>2302261000CHL</t>
  </si>
  <si>
    <t>2302261300CHL</t>
  </si>
  <si>
    <t>QP</t>
  </si>
  <si>
    <t>105-1</t>
  </si>
  <si>
    <t>105-2</t>
  </si>
  <si>
    <t>Q.CH</t>
  </si>
  <si>
    <t>2302261530CHL</t>
  </si>
  <si>
    <t>STOCK 23</t>
  </si>
  <si>
    <t>RELACION LECHE/PRENSA</t>
  </si>
  <si>
    <t>QUESO PRENSADO</t>
  </si>
  <si>
    <t>MASA PRENSADA</t>
  </si>
  <si>
    <t>MASA CUAJADA</t>
  </si>
  <si>
    <t>1402-1803</t>
  </si>
  <si>
    <t>1402-1804</t>
  </si>
  <si>
    <t>STOCK25</t>
  </si>
  <si>
    <t>RELACION LECHE/CUAJADA</t>
  </si>
  <si>
    <t>Q.CH.</t>
  </si>
  <si>
    <t>Q.P.</t>
  </si>
  <si>
    <t>2502260930CHL</t>
  </si>
  <si>
    <t>2502261130CHL</t>
  </si>
  <si>
    <t>2502261330CHL</t>
  </si>
  <si>
    <t>STOCK 26</t>
  </si>
  <si>
    <t>2602261530CHL</t>
  </si>
  <si>
    <t>25/25,5</t>
  </si>
  <si>
    <t>3,00/2,00</t>
  </si>
  <si>
    <t>35,5/37,5</t>
  </si>
  <si>
    <t>2,7/2,1</t>
  </si>
  <si>
    <t>45/45,4</t>
  </si>
  <si>
    <t>52/51,7</t>
  </si>
  <si>
    <t>3,5/3</t>
  </si>
  <si>
    <t>60/62,80</t>
  </si>
  <si>
    <t>4/1,5</t>
  </si>
  <si>
    <t>69/69,5</t>
  </si>
  <si>
    <t>29/29,5</t>
  </si>
  <si>
    <t>3,8/2</t>
  </si>
  <si>
    <t>31/31,6</t>
  </si>
  <si>
    <t>3,9/2,4</t>
  </si>
  <si>
    <t>38/38</t>
  </si>
  <si>
    <t>46/46,8</t>
  </si>
  <si>
    <t>52/52,5</t>
  </si>
  <si>
    <t>2,5/2,4</t>
  </si>
  <si>
    <t>55/55,2</t>
  </si>
  <si>
    <t>65/65,3</t>
  </si>
  <si>
    <t>2,5/2</t>
  </si>
  <si>
    <t>DULCE LECHE FAMILIAR</t>
  </si>
  <si>
    <t>DULCE DE LECHE REPOSTRERO</t>
  </si>
  <si>
    <t>0511250730RL</t>
  </si>
  <si>
    <t>1 KG</t>
  </si>
  <si>
    <t>PESO</t>
  </si>
  <si>
    <t>CANTIDAD (UDS)</t>
  </si>
  <si>
    <t>PESO (KG)</t>
  </si>
  <si>
    <t>1KG</t>
  </si>
  <si>
    <t>5KG</t>
  </si>
  <si>
    <t>250 G</t>
  </si>
  <si>
    <t>2702260820RL</t>
  </si>
  <si>
    <t>1212250945FL</t>
  </si>
  <si>
    <t>1301261200FL</t>
  </si>
  <si>
    <t>250G</t>
  </si>
  <si>
    <t>2002260900FL</t>
  </si>
  <si>
    <t>2602260900RL</t>
  </si>
  <si>
    <t>5 KG</t>
  </si>
  <si>
    <t>PESO(KG)</t>
  </si>
  <si>
    <r>
      <t>N</t>
    </r>
    <r>
      <rPr>
        <b/>
        <sz val="11"/>
        <color theme="1"/>
        <rFont val="Calibri"/>
        <family val="2"/>
      </rPr>
      <t>°</t>
    </r>
  </si>
  <si>
    <t>DESPACHO</t>
  </si>
  <si>
    <t>2702261400CHL</t>
  </si>
  <si>
    <t>STOCK 27</t>
  </si>
  <si>
    <t xml:space="preserve">DESPACHO </t>
  </si>
  <si>
    <t xml:space="preserve">LOTE </t>
  </si>
  <si>
    <t>SE DESCREMO</t>
  </si>
  <si>
    <t>31,5/33,5</t>
  </si>
  <si>
    <t>2/1,8</t>
  </si>
  <si>
    <t>40/41,7</t>
  </si>
  <si>
    <t>2,2/1,8</t>
  </si>
  <si>
    <t>47/48,9</t>
  </si>
  <si>
    <t>48/48,8</t>
  </si>
  <si>
    <t>2,1/1,9</t>
  </si>
  <si>
    <t>55/57,8</t>
  </si>
  <si>
    <t>2/1,5</t>
  </si>
  <si>
    <t>53/56,2</t>
  </si>
  <si>
    <t>1,8/1,7</t>
  </si>
  <si>
    <t>64/67,5</t>
  </si>
  <si>
    <t>1,4/1,1</t>
  </si>
  <si>
    <t>LOTE VENDIDO</t>
  </si>
  <si>
    <t>EDULCORANTE LIQUIDO</t>
  </si>
  <si>
    <t>MAYOR 2</t>
  </si>
  <si>
    <t>MAYOR 3</t>
  </si>
  <si>
    <t>CITRIC ACID ANHIDROUS</t>
  </si>
  <si>
    <t>BENZUATO DE SODIO</t>
  </si>
  <si>
    <t>CARRAGENINA</t>
  </si>
  <si>
    <t>BOLSA DE 500 G</t>
  </si>
  <si>
    <t>LECITINA DE SOYA</t>
  </si>
  <si>
    <t>LECHE EN POLVO MAFRALAC</t>
  </si>
  <si>
    <t>GOMA GUAR</t>
  </si>
  <si>
    <t>BOLSA 1 KG</t>
  </si>
  <si>
    <t>MALTODEXTRINA EN POLVO</t>
  </si>
  <si>
    <t>CARBOXIMETICELULOSA SODICA EN POLVO</t>
  </si>
  <si>
    <t>BOLA DE 1 KG</t>
  </si>
  <si>
    <t>mayor  50</t>
  </si>
  <si>
    <t>Valle Nuevo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</si>
</sst>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%"/>
    <numFmt numFmtId="166" formatCode="0.000%"/>
    <numFmt numFmtId="167" formatCode="0.0000"/>
    <numFmt numFmtId="168" formatCode="yyyy\-mm\-dd\ hh:mm:ss"/>
    <numFmt numFmtId="169" formatCode="0.0"/>
  </numFmts>
  <fonts count="4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1"/>
      <color theme="5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rgb="FFFA7D00"/>
      <name val="Arial"/>
      <family val="2"/>
    </font>
    <font>
      <b/>
      <sz val="10"/>
      <color theme="5"/>
      <name val="Arial"/>
      <family val="2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4F81BD"/>
        <bgColor rgb="FF000000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B8CCE4"/>
        <bgColor rgb="FFB8CCE4"/>
      </patternFill>
    </fill>
    <fill>
      <patternFill patternType="solid">
        <fgColor theme="4"/>
        <bgColor rgb="FF000000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</fills>
  <borders count="35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theme="0"/>
      </top>
      <bottom style="thin">
        <color auto="1"/>
      </bottom>
      <diagonal/>
    </border>
    <border>
      <left/>
      <right style="thin">
        <color auto="1"/>
      </right>
      <top style="thin">
        <color theme="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4">
    <xf numFmtId="0" fontId="0" fillId="0" borderId="0"/>
    <xf numFmtId="9" fontId="23" fillId="0" borderId="0"/>
    <xf numFmtId="0" fontId="13" fillId="12" borderId="24"/>
    <xf numFmtId="0" fontId="24" fillId="14" borderId="0"/>
  </cellStyleXfs>
  <cellXfs count="333">
    <xf numFmtId="0" fontId="0" fillId="0" borderId="0" xfId="0"/>
    <xf numFmtId="14" fontId="0" fillId="0" borderId="0" xfId="0" applyNumberFormat="1"/>
    <xf numFmtId="0" fontId="9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14" fontId="10" fillId="0" borderId="3" xfId="0" applyNumberFormat="1" applyFont="1" applyBorder="1" applyAlignment="1">
      <alignment horizontal="left"/>
    </xf>
    <xf numFmtId="0" fontId="0" fillId="0" borderId="2" xfId="0" applyBorder="1" applyAlignment="1">
      <alignment horizontal="left"/>
    </xf>
    <xf numFmtId="164" fontId="0" fillId="0" borderId="0" xfId="0" applyNumberFormat="1"/>
    <xf numFmtId="0" fontId="0" fillId="0" borderId="2" xfId="0" applyBorder="1"/>
    <xf numFmtId="0" fontId="9" fillId="2" borderId="1" xfId="2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 applyAlignment="1">
      <alignment wrapText="1"/>
    </xf>
    <xf numFmtId="0" fontId="10" fillId="5" borderId="2" xfId="0" applyFont="1" applyFill="1" applyBorder="1" applyAlignment="1">
      <alignment horizontal="right"/>
    </xf>
    <xf numFmtId="14" fontId="0" fillId="4" borderId="8" xfId="0" applyNumberFormat="1" applyFill="1" applyBorder="1" applyAlignment="1">
      <alignment wrapText="1"/>
    </xf>
    <xf numFmtId="0" fontId="10" fillId="5" borderId="5" xfId="0" applyFont="1" applyFill="1" applyBorder="1" applyAlignment="1">
      <alignment horizontal="right"/>
    </xf>
    <xf numFmtId="14" fontId="0" fillId="0" borderId="7" xfId="0" applyNumberFormat="1" applyBorder="1"/>
    <xf numFmtId="14" fontId="0" fillId="0" borderId="1" xfId="0" applyNumberFormat="1" applyBorder="1"/>
    <xf numFmtId="0" fontId="11" fillId="3" borderId="9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right"/>
    </xf>
    <xf numFmtId="0" fontId="10" fillId="5" borderId="11" xfId="0" applyFont="1" applyFill="1" applyBorder="1" applyAlignment="1">
      <alignment horizontal="right"/>
    </xf>
    <xf numFmtId="0" fontId="0" fillId="0" borderId="10" xfId="0" applyBorder="1"/>
    <xf numFmtId="0" fontId="9" fillId="2" borderId="3" xfId="2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10" fillId="0" borderId="6" xfId="0" applyFont="1" applyBorder="1" applyAlignment="1">
      <alignment horizontal="right" wrapText="1"/>
    </xf>
    <xf numFmtId="0" fontId="10" fillId="0" borderId="3" xfId="0" applyFont="1" applyBorder="1" applyAlignment="1">
      <alignment horizontal="right" wrapText="1"/>
    </xf>
    <xf numFmtId="0" fontId="10" fillId="0" borderId="12" xfId="0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0" fillId="0" borderId="13" xfId="0" applyNumberFormat="1" applyBorder="1" applyAlignment="1">
      <alignment wrapText="1"/>
    </xf>
    <xf numFmtId="0" fontId="10" fillId="0" borderId="14" xfId="0" applyFont="1" applyBorder="1" applyAlignment="1">
      <alignment horizontal="right" wrapText="1"/>
    </xf>
    <xf numFmtId="0" fontId="10" fillId="0" borderId="4" xfId="0" applyFont="1" applyBorder="1" applyAlignment="1">
      <alignment horizontal="right" wrapText="1"/>
    </xf>
    <xf numFmtId="0" fontId="10" fillId="0" borderId="0" xfId="0" applyFont="1" applyAlignment="1">
      <alignment horizontal="right" wrapText="1"/>
    </xf>
    <xf numFmtId="0" fontId="0" fillId="0" borderId="2" xfId="0" applyBorder="1" applyAlignment="1">
      <alignment horizontal="right" wrapText="1"/>
    </xf>
    <xf numFmtId="0" fontId="12" fillId="0" borderId="2" xfId="0" applyFont="1" applyBorder="1" applyAlignment="1">
      <alignment horizontal="center" vertical="center" wrapText="1"/>
    </xf>
    <xf numFmtId="14" fontId="0" fillId="0" borderId="2" xfId="0" applyNumberFormat="1" applyBorder="1"/>
    <xf numFmtId="1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2" fillId="8" borderId="2" xfId="0" applyFont="1" applyFill="1" applyBorder="1" applyAlignment="1">
      <alignment vertical="center"/>
    </xf>
    <xf numFmtId="0" fontId="12" fillId="8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 wrapText="1"/>
    </xf>
    <xf numFmtId="20" fontId="0" fillId="0" borderId="2" xfId="0" applyNumberFormat="1" applyBorder="1"/>
    <xf numFmtId="0" fontId="0" fillId="9" borderId="2" xfId="0" applyFill="1" applyBorder="1"/>
    <xf numFmtId="0" fontId="0" fillId="10" borderId="2" xfId="0" applyFill="1" applyBorder="1"/>
    <xf numFmtId="0" fontId="12" fillId="11" borderId="2" xfId="0" applyFont="1" applyFill="1" applyBorder="1"/>
    <xf numFmtId="20" fontId="0" fillId="0" borderId="2" xfId="0" applyNumberFormat="1" applyBorder="1" applyAlignment="1">
      <alignment horizontal="center"/>
    </xf>
    <xf numFmtId="20" fontId="0" fillId="0" borderId="2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3" fillId="12" borderId="2" xfId="2" applyBorder="1" applyAlignment="1">
      <alignment horizontal="center" vertical="center" wrapText="1"/>
    </xf>
    <xf numFmtId="0" fontId="0" fillId="0" borderId="6" xfId="0" applyBorder="1"/>
    <xf numFmtId="16" fontId="0" fillId="0" borderId="2" xfId="0" applyNumberFormat="1" applyBorder="1" applyAlignment="1">
      <alignment wrapText="1"/>
    </xf>
    <xf numFmtId="16" fontId="0" fillId="0" borderId="2" xfId="0" applyNumberFormat="1" applyBorder="1" applyAlignment="1">
      <alignment horizontal="center" vertical="center" wrapText="1"/>
    </xf>
    <xf numFmtId="16" fontId="0" fillId="13" borderId="2" xfId="0" applyNumberFormat="1" applyFill="1" applyBorder="1" applyAlignment="1">
      <alignment horizontal="center" vertical="center" wrapText="1"/>
    </xf>
    <xf numFmtId="14" fontId="0" fillId="0" borderId="5" xfId="0" applyNumberFormat="1" applyBorder="1" applyAlignment="1">
      <alignment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right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20" fontId="0" fillId="0" borderId="2" xfId="0" applyNumberFormat="1" applyBorder="1" applyAlignment="1">
      <alignment horizontal="right" wrapText="1"/>
    </xf>
    <xf numFmtId="20" fontId="0" fillId="0" borderId="5" xfId="0" applyNumberFormat="1" applyBorder="1" applyAlignment="1">
      <alignment horizontal="right" wrapText="1"/>
    </xf>
    <xf numFmtId="16" fontId="0" fillId="0" borderId="2" xfId="0" applyNumberFormat="1" applyBorder="1" applyAlignment="1">
      <alignment horizontal="right" wrapText="1"/>
    </xf>
    <xf numFmtId="20" fontId="0" fillId="0" borderId="2" xfId="0" applyNumberFormat="1" applyBorder="1" applyAlignment="1">
      <alignment wrapText="1"/>
    </xf>
    <xf numFmtId="0" fontId="0" fillId="0" borderId="11" xfId="0" applyBorder="1" applyAlignment="1">
      <alignment horizontal="right" wrapText="1"/>
    </xf>
    <xf numFmtId="165" fontId="23" fillId="0" borderId="2" xfId="1" applyNumberFormat="1" applyBorder="1" applyAlignment="1">
      <alignment horizontal="right" wrapText="1"/>
    </xf>
    <xf numFmtId="0" fontId="0" fillId="0" borderId="10" xfId="0" applyBorder="1" applyAlignment="1">
      <alignment horizontal="right" wrapText="1"/>
    </xf>
    <xf numFmtId="0" fontId="14" fillId="14" borderId="19" xfId="0" applyFont="1" applyFill="1" applyBorder="1" applyAlignment="1">
      <alignment horizontal="center" wrapText="1"/>
    </xf>
    <xf numFmtId="0" fontId="14" fillId="14" borderId="20" xfId="0" applyFont="1" applyFill="1" applyBorder="1" applyAlignment="1">
      <alignment horizontal="center" wrapText="1"/>
    </xf>
    <xf numFmtId="0" fontId="15" fillId="14" borderId="20" xfId="0" applyFont="1" applyFill="1" applyBorder="1" applyAlignment="1">
      <alignment wrapText="1"/>
    </xf>
    <xf numFmtId="0" fontId="16" fillId="15" borderId="19" xfId="0" applyFont="1" applyFill="1" applyBorder="1" applyAlignment="1">
      <alignment horizontal="left" wrapText="1"/>
    </xf>
    <xf numFmtId="0" fontId="14" fillId="15" borderId="20" xfId="0" applyFont="1" applyFill="1" applyBorder="1" applyAlignment="1">
      <alignment horizontal="center" wrapText="1"/>
    </xf>
    <xf numFmtId="0" fontId="17" fillId="15" borderId="20" xfId="0" applyFont="1" applyFill="1" applyBorder="1" applyAlignment="1">
      <alignment horizontal="right" vertical="center" wrapText="1"/>
    </xf>
    <xf numFmtId="0" fontId="18" fillId="15" borderId="20" xfId="0" applyFont="1" applyFill="1" applyBorder="1" applyAlignment="1">
      <alignment wrapText="1"/>
    </xf>
    <xf numFmtId="0" fontId="19" fillId="16" borderId="19" xfId="0" applyFont="1" applyFill="1" applyBorder="1" applyAlignment="1">
      <alignment wrapText="1"/>
    </xf>
    <xf numFmtId="0" fontId="18" fillId="0" borderId="20" xfId="0" applyFont="1" applyBorder="1" applyAlignment="1">
      <alignment horizontal="right" wrapText="1"/>
    </xf>
    <xf numFmtId="0" fontId="18" fillId="0" borderId="20" xfId="0" applyFont="1" applyBorder="1" applyAlignment="1">
      <alignment horizontal="right" vertical="center" wrapText="1"/>
    </xf>
    <xf numFmtId="9" fontId="18" fillId="0" borderId="20" xfId="0" applyNumberFormat="1" applyFont="1" applyBorder="1" applyAlignment="1">
      <alignment horizontal="right" wrapText="1"/>
    </xf>
    <xf numFmtId="0" fontId="20" fillId="0" borderId="21" xfId="0" applyFont="1" applyBorder="1" applyAlignment="1">
      <alignment wrapText="1"/>
    </xf>
    <xf numFmtId="0" fontId="18" fillId="0" borderId="21" xfId="0" applyFont="1" applyBorder="1" applyAlignment="1">
      <alignment wrapText="1"/>
    </xf>
    <xf numFmtId="0" fontId="18" fillId="0" borderId="21" xfId="0" applyFont="1" applyBorder="1" applyAlignment="1">
      <alignment horizontal="right" vertical="center" wrapText="1"/>
    </xf>
    <xf numFmtId="0" fontId="18" fillId="0" borderId="22" xfId="0" applyFont="1" applyBorder="1" applyAlignment="1">
      <alignment wrapText="1"/>
    </xf>
    <xf numFmtId="0" fontId="18" fillId="0" borderId="20" xfId="0" applyFont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21" fillId="14" borderId="2" xfId="3" applyFont="1" applyBorder="1" applyAlignment="1">
      <alignment horizontal="center" vertical="center"/>
    </xf>
    <xf numFmtId="0" fontId="13" fillId="12" borderId="6" xfId="2" applyBorder="1"/>
    <xf numFmtId="166" fontId="23" fillId="0" borderId="6" xfId="1" applyNumberFormat="1" applyBorder="1"/>
    <xf numFmtId="2" fontId="0" fillId="0" borderId="6" xfId="0" applyNumberFormat="1" applyBorder="1"/>
    <xf numFmtId="167" fontId="0" fillId="0" borderId="2" xfId="0" applyNumberFormat="1" applyBorder="1"/>
    <xf numFmtId="0" fontId="13" fillId="12" borderId="2" xfId="2" applyBorder="1"/>
    <xf numFmtId="166" fontId="23" fillId="0" borderId="2" xfId="1" applyNumberFormat="1" applyBorder="1"/>
    <xf numFmtId="2" fontId="0" fillId="0" borderId="2" xfId="0" applyNumberFormat="1" applyBorder="1"/>
    <xf numFmtId="164" fontId="0" fillId="0" borderId="2" xfId="0" applyNumberFormat="1" applyBorder="1"/>
    <xf numFmtId="10" fontId="23" fillId="0" borderId="2" xfId="1" applyNumberFormat="1" applyBorder="1"/>
    <xf numFmtId="10" fontId="0" fillId="0" borderId="2" xfId="0" applyNumberFormat="1" applyBorder="1"/>
    <xf numFmtId="168" fontId="0" fillId="0" borderId="0" xfId="0" applyNumberFormat="1"/>
    <xf numFmtId="0" fontId="0" fillId="17" borderId="0" xfId="0" applyFill="1"/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17" borderId="0" xfId="0" applyFill="1" applyAlignment="1">
      <alignment horizontal="left"/>
    </xf>
    <xf numFmtId="0" fontId="0" fillId="17" borderId="0" xfId="0" applyFill="1" applyAlignment="1">
      <alignment horizontal="center"/>
    </xf>
    <xf numFmtId="1" fontId="0" fillId="17" borderId="0" xfId="0" applyNumberFormat="1" applyFill="1" applyAlignment="1">
      <alignment horizontal="center"/>
    </xf>
    <xf numFmtId="0" fontId="22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17" borderId="0" xfId="0" applyFont="1" applyFill="1" applyAlignment="1">
      <alignment horizontal="center"/>
    </xf>
    <xf numFmtId="0" fontId="0" fillId="0" borderId="2" xfId="0" quotePrefix="1" applyBorder="1" applyAlignment="1">
      <alignment horizontal="center" vertical="center"/>
    </xf>
    <xf numFmtId="14" fontId="0" fillId="0" borderId="2" xfId="0" applyNumberFormat="1" applyBorder="1" applyAlignment="1">
      <alignment horizontal="right" vertical="center"/>
    </xf>
    <xf numFmtId="14" fontId="0" fillId="0" borderId="2" xfId="0" applyNumberFormat="1" applyBorder="1" applyAlignment="1">
      <alignment horizontal="right"/>
    </xf>
    <xf numFmtId="14" fontId="25" fillId="4" borderId="7" xfId="0" applyNumberFormat="1" applyFont="1" applyFill="1" applyBorder="1" applyAlignment="1">
      <alignment wrapText="1"/>
    </xf>
    <xf numFmtId="0" fontId="26" fillId="5" borderId="2" xfId="0" applyFont="1" applyFill="1" applyBorder="1" applyAlignment="1">
      <alignment horizontal="right"/>
    </xf>
    <xf numFmtId="0" fontId="0" fillId="0" borderId="5" xfId="0" applyBorder="1"/>
    <xf numFmtId="2" fontId="0" fillId="0" borderId="0" xfId="0" applyNumberFormat="1"/>
    <xf numFmtId="2" fontId="12" fillId="8" borderId="2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2" fontId="30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4" fontId="0" fillId="0" borderId="5" xfId="0" applyNumberFormat="1" applyBorder="1"/>
    <xf numFmtId="20" fontId="0" fillId="0" borderId="5" xfId="0" applyNumberFormat="1" applyBorder="1"/>
    <xf numFmtId="0" fontId="0" fillId="9" borderId="5" xfId="0" applyFill="1" applyBorder="1"/>
    <xf numFmtId="2" fontId="0" fillId="0" borderId="5" xfId="0" applyNumberFormat="1" applyBorder="1"/>
    <xf numFmtId="21" fontId="0" fillId="0" borderId="2" xfId="0" applyNumberFormat="1" applyBorder="1"/>
    <xf numFmtId="2" fontId="27" fillId="0" borderId="2" xfId="0" applyNumberFormat="1" applyFont="1" applyBorder="1"/>
    <xf numFmtId="0" fontId="8" fillId="0" borderId="2" xfId="0" applyFont="1" applyBorder="1"/>
    <xf numFmtId="0" fontId="25" fillId="0" borderId="2" xfId="0" applyFont="1" applyBorder="1" applyAlignment="1">
      <alignment horizontal="left"/>
    </xf>
    <xf numFmtId="0" fontId="31" fillId="0" borderId="27" xfId="0" applyFont="1" applyBorder="1" applyAlignment="1">
      <alignment wrapText="1"/>
    </xf>
    <xf numFmtId="14" fontId="31" fillId="0" borderId="25" xfId="0" applyNumberFormat="1" applyFont="1" applyBorder="1" applyAlignment="1">
      <alignment horizontal="center" vertical="center" wrapText="1"/>
    </xf>
    <xf numFmtId="1" fontId="31" fillId="0" borderId="26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14" fontId="0" fillId="7" borderId="2" xfId="0" applyNumberFormat="1" applyFill="1" applyBorder="1"/>
    <xf numFmtId="0" fontId="0" fillId="7" borderId="2" xfId="0" applyFill="1" applyBorder="1" applyAlignment="1">
      <alignment horizontal="center"/>
    </xf>
    <xf numFmtId="0" fontId="8" fillId="7" borderId="2" xfId="0" applyFont="1" applyFill="1" applyBorder="1"/>
    <xf numFmtId="0" fontId="0" fillId="7" borderId="2" xfId="0" applyFill="1" applyBorder="1"/>
    <xf numFmtId="0" fontId="30" fillId="0" borderId="2" xfId="0" applyFont="1" applyBorder="1" applyAlignment="1">
      <alignment wrapText="1"/>
    </xf>
    <xf numFmtId="0" fontId="7" fillId="0" borderId="2" xfId="0" applyFont="1" applyBorder="1"/>
    <xf numFmtId="0" fontId="30" fillId="0" borderId="2" xfId="0" applyFont="1" applyBorder="1" applyAlignment="1">
      <alignment horizontal="center" vertical="center" wrapText="1"/>
    </xf>
    <xf numFmtId="0" fontId="31" fillId="0" borderId="2" xfId="0" applyFont="1" applyBorder="1" applyAlignment="1">
      <alignment wrapText="1"/>
    </xf>
    <xf numFmtId="14" fontId="31" fillId="0" borderId="2" xfId="0" applyNumberFormat="1" applyFont="1" applyBorder="1" applyAlignment="1">
      <alignment horizontal="right" wrapText="1"/>
    </xf>
    <xf numFmtId="1" fontId="31" fillId="0" borderId="29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14" fontId="0" fillId="20" borderId="2" xfId="0" applyNumberFormat="1" applyFill="1" applyBorder="1"/>
    <xf numFmtId="0" fontId="0" fillId="20" borderId="2" xfId="0" applyFill="1" applyBorder="1" applyAlignment="1">
      <alignment horizontal="center"/>
    </xf>
    <xf numFmtId="0" fontId="0" fillId="20" borderId="2" xfId="0" applyFill="1" applyBorder="1"/>
    <xf numFmtId="0" fontId="0" fillId="20" borderId="0" xfId="0" applyFill="1"/>
    <xf numFmtId="14" fontId="0" fillId="21" borderId="2" xfId="0" applyNumberFormat="1" applyFill="1" applyBorder="1"/>
    <xf numFmtId="0" fontId="0" fillId="21" borderId="2" xfId="0" applyFill="1" applyBorder="1" applyAlignment="1">
      <alignment horizontal="center"/>
    </xf>
    <xf numFmtId="0" fontId="0" fillId="21" borderId="2" xfId="0" applyFill="1" applyBorder="1"/>
    <xf numFmtId="0" fontId="0" fillId="21" borderId="0" xfId="0" applyFill="1"/>
    <xf numFmtId="14" fontId="0" fillId="22" borderId="2" xfId="0" applyNumberFormat="1" applyFill="1" applyBorder="1"/>
    <xf numFmtId="0" fontId="0" fillId="22" borderId="2" xfId="0" applyFill="1" applyBorder="1" applyAlignment="1">
      <alignment horizontal="center"/>
    </xf>
    <xf numFmtId="0" fontId="0" fillId="22" borderId="2" xfId="0" applyFill="1" applyBorder="1"/>
    <xf numFmtId="0" fontId="0" fillId="22" borderId="0" xfId="0" applyFill="1"/>
    <xf numFmtId="14" fontId="0" fillId="22" borderId="2" xfId="0" applyNumberFormat="1" applyFill="1" applyBorder="1" applyAlignment="1">
      <alignment horizontal="right" vertical="center"/>
    </xf>
    <xf numFmtId="0" fontId="0" fillId="22" borderId="2" xfId="0" applyFill="1" applyBorder="1" applyAlignment="1">
      <alignment horizontal="center" vertical="center"/>
    </xf>
    <xf numFmtId="14" fontId="0" fillId="23" borderId="2" xfId="0" applyNumberFormat="1" applyFill="1" applyBorder="1" applyAlignment="1">
      <alignment horizontal="right" vertical="center"/>
    </xf>
    <xf numFmtId="0" fontId="0" fillId="23" borderId="2" xfId="0" applyFill="1" applyBorder="1" applyAlignment="1">
      <alignment horizontal="center" vertical="center"/>
    </xf>
    <xf numFmtId="0" fontId="0" fillId="23" borderId="2" xfId="0" applyFill="1" applyBorder="1"/>
    <xf numFmtId="14" fontId="0" fillId="23" borderId="2" xfId="0" applyNumberFormat="1" applyFill="1" applyBorder="1"/>
    <xf numFmtId="14" fontId="0" fillId="8" borderId="2" xfId="0" applyNumberFormat="1" applyFill="1" applyBorder="1"/>
    <xf numFmtId="0" fontId="0" fillId="8" borderId="2" xfId="0" applyFill="1" applyBorder="1" applyAlignment="1">
      <alignment horizontal="center" vertical="center"/>
    </xf>
    <xf numFmtId="0" fontId="0" fillId="8" borderId="2" xfId="0" applyFill="1" applyBorder="1"/>
    <xf numFmtId="0" fontId="0" fillId="8" borderId="2" xfId="0" applyFill="1" applyBorder="1" applyAlignment="1">
      <alignment horizontal="center"/>
    </xf>
    <xf numFmtId="14" fontId="0" fillId="24" borderId="2" xfId="0" applyNumberFormat="1" applyFill="1" applyBorder="1"/>
    <xf numFmtId="0" fontId="0" fillId="24" borderId="2" xfId="0" applyFill="1" applyBorder="1" applyAlignment="1">
      <alignment horizontal="center"/>
    </xf>
    <xf numFmtId="0" fontId="0" fillId="24" borderId="2" xfId="0" applyFill="1" applyBorder="1"/>
    <xf numFmtId="14" fontId="0" fillId="25" borderId="2" xfId="0" applyNumberFormat="1" applyFill="1" applyBorder="1"/>
    <xf numFmtId="0" fontId="0" fillId="25" borderId="2" xfId="0" applyFill="1" applyBorder="1" applyAlignment="1">
      <alignment horizontal="center"/>
    </xf>
    <xf numFmtId="0" fontId="0" fillId="25" borderId="2" xfId="0" applyFill="1" applyBorder="1"/>
    <xf numFmtId="14" fontId="0" fillId="25" borderId="2" xfId="0" applyNumberFormat="1" applyFill="1" applyBorder="1" applyAlignment="1">
      <alignment horizontal="right" vertical="center"/>
    </xf>
    <xf numFmtId="0" fontId="0" fillId="25" borderId="2" xfId="0" applyFill="1" applyBorder="1" applyAlignment="1">
      <alignment horizontal="center" vertical="center"/>
    </xf>
    <xf numFmtId="14" fontId="0" fillId="10" borderId="2" xfId="0" applyNumberFormat="1" applyFill="1" applyBorder="1"/>
    <xf numFmtId="0" fontId="0" fillId="10" borderId="2" xfId="0" applyFill="1" applyBorder="1" applyAlignment="1">
      <alignment horizontal="center" vertical="center"/>
    </xf>
    <xf numFmtId="1" fontId="0" fillId="10" borderId="2" xfId="0" applyNumberForma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14" fontId="0" fillId="26" borderId="2" xfId="0" applyNumberFormat="1" applyFill="1" applyBorder="1"/>
    <xf numFmtId="1" fontId="0" fillId="26" borderId="2" xfId="0" applyNumberFormat="1" applyFill="1" applyBorder="1" applyAlignment="1">
      <alignment horizontal="center" vertical="center"/>
    </xf>
    <xf numFmtId="0" fontId="0" fillId="26" borderId="2" xfId="0" applyFill="1" applyBorder="1" applyAlignment="1">
      <alignment horizontal="center"/>
    </xf>
    <xf numFmtId="0" fontId="0" fillId="26" borderId="2" xfId="0" applyFill="1" applyBorder="1"/>
    <xf numFmtId="14" fontId="0" fillId="26" borderId="2" xfId="0" applyNumberFormat="1" applyFill="1" applyBorder="1" applyAlignment="1">
      <alignment horizontal="right" vertical="center"/>
    </xf>
    <xf numFmtId="0" fontId="0" fillId="26" borderId="2" xfId="0" applyFill="1" applyBorder="1" applyAlignment="1">
      <alignment horizontal="center" vertical="center"/>
    </xf>
    <xf numFmtId="0" fontId="0" fillId="24" borderId="2" xfId="0" applyFill="1" applyBorder="1" applyAlignment="1">
      <alignment horizontal="center" vertical="center"/>
    </xf>
    <xf numFmtId="0" fontId="31" fillId="0" borderId="2" xfId="0" applyFont="1" applyBorder="1" applyAlignment="1">
      <alignment horizontal="center" wrapText="1"/>
    </xf>
    <xf numFmtId="0" fontId="30" fillId="27" borderId="5" xfId="0" applyFont="1" applyFill="1" applyBorder="1" applyAlignment="1">
      <alignment horizontal="center" vertical="center" wrapText="1"/>
    </xf>
    <xf numFmtId="0" fontId="30" fillId="27" borderId="5" xfId="0" applyFont="1" applyFill="1" applyBorder="1" applyAlignment="1">
      <alignment horizontal="center" wrapText="1"/>
    </xf>
    <xf numFmtId="0" fontId="30" fillId="27" borderId="5" xfId="0" applyFont="1" applyFill="1" applyBorder="1" applyAlignment="1">
      <alignment vertical="center" wrapText="1"/>
    </xf>
    <xf numFmtId="0" fontId="30" fillId="27" borderId="5" xfId="0" applyFont="1" applyFill="1" applyBorder="1" applyAlignment="1">
      <alignment horizontal="center" vertical="center"/>
    </xf>
    <xf numFmtId="0" fontId="30" fillId="27" borderId="0" xfId="0" applyFont="1" applyFill="1" applyAlignment="1">
      <alignment horizontal="center" vertical="center" wrapText="1"/>
    </xf>
    <xf numFmtId="14" fontId="31" fillId="0" borderId="2" xfId="0" applyNumberFormat="1" applyFont="1" applyBorder="1" applyAlignment="1">
      <alignment wrapText="1"/>
    </xf>
    <xf numFmtId="0" fontId="35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/>
    </xf>
    <xf numFmtId="14" fontId="31" fillId="0" borderId="2" xfId="0" applyNumberFormat="1" applyFont="1" applyBorder="1" applyAlignment="1">
      <alignment horizontal="center"/>
    </xf>
    <xf numFmtId="0" fontId="32" fillId="0" borderId="2" xfId="0" applyFont="1" applyBorder="1" applyAlignment="1">
      <alignment horizontal="center" vertical="center" wrapText="1"/>
    </xf>
    <xf numFmtId="0" fontId="31" fillId="17" borderId="2" xfId="0" applyFont="1" applyFill="1" applyBorder="1" applyAlignment="1">
      <alignment horizontal="center"/>
    </xf>
    <xf numFmtId="14" fontId="31" fillId="17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0" fontId="6" fillId="17" borderId="2" xfId="0" applyFont="1" applyFill="1" applyBorder="1"/>
    <xf numFmtId="14" fontId="0" fillId="0" borderId="6" xfId="0" applyNumberFormat="1" applyBorder="1"/>
    <xf numFmtId="1" fontId="0" fillId="20" borderId="2" xfId="0" applyNumberForma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21" borderId="2" xfId="0" applyNumberFormat="1" applyFill="1" applyBorder="1" applyAlignment="1">
      <alignment horizontal="center"/>
    </xf>
    <xf numFmtId="1" fontId="0" fillId="22" borderId="2" xfId="0" applyNumberForma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23" borderId="2" xfId="0" applyNumberFormat="1" applyFill="1" applyBorder="1" applyAlignment="1">
      <alignment horizontal="center"/>
    </xf>
    <xf numFmtId="1" fontId="0" fillId="8" borderId="2" xfId="0" applyNumberFormat="1" applyFill="1" applyBorder="1" applyAlignment="1">
      <alignment horizontal="center"/>
    </xf>
    <xf numFmtId="1" fontId="0" fillId="24" borderId="2" xfId="0" applyNumberFormat="1" applyFill="1" applyBorder="1" applyAlignment="1">
      <alignment horizontal="center"/>
    </xf>
    <xf numFmtId="1" fontId="0" fillId="25" borderId="2" xfId="0" applyNumberFormat="1" applyFill="1" applyBorder="1" applyAlignment="1">
      <alignment horizontal="center"/>
    </xf>
    <xf numFmtId="1" fontId="0" fillId="10" borderId="2" xfId="0" applyNumberFormat="1" applyFill="1" applyBorder="1" applyAlignment="1">
      <alignment horizontal="center"/>
    </xf>
    <xf numFmtId="2" fontId="0" fillId="0" borderId="10" xfId="0" applyNumberFormat="1" applyBorder="1"/>
    <xf numFmtId="2" fontId="0" fillId="0" borderId="2" xfId="0" applyNumberFormat="1" applyBorder="1" applyAlignment="1">
      <alignment horizontal="center"/>
    </xf>
    <xf numFmtId="0" fontId="0" fillId="15" borderId="2" xfId="0" applyFill="1" applyBorder="1"/>
    <xf numFmtId="0" fontId="32" fillId="23" borderId="23" xfId="0" applyFont="1" applyFill="1" applyBorder="1" applyAlignment="1">
      <alignment horizontal="center" vertical="center" wrapText="1"/>
    </xf>
    <xf numFmtId="0" fontId="32" fillId="23" borderId="30" xfId="0" applyFont="1" applyFill="1" applyBorder="1" applyAlignment="1">
      <alignment horizontal="center" vertical="center" wrapText="1"/>
    </xf>
    <xf numFmtId="0" fontId="32" fillId="23" borderId="28" xfId="0" applyFont="1" applyFill="1" applyBorder="1" applyAlignment="1">
      <alignment horizontal="center" vertical="center" wrapText="1"/>
    </xf>
    <xf numFmtId="0" fontId="31" fillId="0" borderId="30" xfId="0" applyFont="1" applyBorder="1" applyAlignment="1">
      <alignment horizontal="center" vertical="center" wrapText="1"/>
    </xf>
    <xf numFmtId="0" fontId="31" fillId="0" borderId="31" xfId="0" applyFont="1" applyBorder="1" applyAlignment="1">
      <alignment vertical="center" wrapText="1"/>
    </xf>
    <xf numFmtId="0" fontId="31" fillId="0" borderId="32" xfId="0" applyFont="1" applyBorder="1" applyAlignment="1">
      <alignment wrapText="1"/>
    </xf>
    <xf numFmtId="0" fontId="31" fillId="0" borderId="6" xfId="0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4" fontId="31" fillId="0" borderId="2" xfId="0" applyNumberFormat="1" applyFont="1" applyBorder="1" applyAlignment="1">
      <alignment horizontal="center" vertical="center" wrapText="1"/>
    </xf>
    <xf numFmtId="1" fontId="31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vertical="center" wrapText="1"/>
    </xf>
    <xf numFmtId="0" fontId="31" fillId="0" borderId="2" xfId="0" applyFont="1" applyBorder="1" applyAlignment="1">
      <alignment vertical="center"/>
    </xf>
    <xf numFmtId="0" fontId="31" fillId="0" borderId="2" xfId="0" applyFont="1" applyBorder="1" applyAlignment="1">
      <alignment horizontal="right" wrapText="1"/>
    </xf>
    <xf numFmtId="0" fontId="31" fillId="18" borderId="2" xfId="0" applyFont="1" applyFill="1" applyBorder="1" applyAlignment="1">
      <alignment wrapText="1"/>
    </xf>
    <xf numFmtId="0" fontId="31" fillId="18" borderId="2" xfId="0" applyFont="1" applyFill="1" applyBorder="1" applyAlignment="1">
      <alignment horizontal="right" wrapText="1"/>
    </xf>
    <xf numFmtId="0" fontId="32" fillId="17" borderId="2" xfId="0" applyFont="1" applyFill="1" applyBorder="1" applyAlignment="1">
      <alignment wrapText="1"/>
    </xf>
    <xf numFmtId="0" fontId="32" fillId="17" borderId="2" xfId="0" applyFont="1" applyFill="1" applyBorder="1" applyAlignment="1">
      <alignment horizontal="right" wrapText="1"/>
    </xf>
    <xf numFmtId="14" fontId="31" fillId="19" borderId="2" xfId="0" applyNumberFormat="1" applyFont="1" applyFill="1" applyBorder="1" applyAlignment="1">
      <alignment horizontal="center" vertical="center" wrapText="1"/>
    </xf>
    <xf numFmtId="1" fontId="31" fillId="19" borderId="2" xfId="0" applyNumberFormat="1" applyFont="1" applyFill="1" applyBorder="1" applyAlignment="1">
      <alignment horizontal="center" vertical="center" wrapText="1"/>
    </xf>
    <xf numFmtId="0" fontId="31" fillId="19" borderId="2" xfId="0" applyFont="1" applyFill="1" applyBorder="1" applyAlignment="1">
      <alignment horizontal="center" vertical="center" wrapText="1"/>
    </xf>
    <xf numFmtId="0" fontId="33" fillId="19" borderId="2" xfId="0" applyFont="1" applyFill="1" applyBorder="1" applyAlignment="1">
      <alignment horizontal="center" wrapText="1"/>
    </xf>
    <xf numFmtId="0" fontId="31" fillId="19" borderId="2" xfId="0" applyFont="1" applyFill="1" applyBorder="1" applyAlignment="1">
      <alignment wrapText="1"/>
    </xf>
    <xf numFmtId="14" fontId="31" fillId="19" borderId="2" xfId="0" applyNumberFormat="1" applyFont="1" applyFill="1" applyBorder="1" applyAlignment="1">
      <alignment horizontal="right" wrapText="1"/>
    </xf>
    <xf numFmtId="0" fontId="0" fillId="19" borderId="2" xfId="0" applyFill="1" applyBorder="1"/>
    <xf numFmtId="0" fontId="33" fillId="0" borderId="2" xfId="0" applyFont="1" applyBorder="1" applyAlignment="1">
      <alignment horizontal="center" wrapText="1"/>
    </xf>
    <xf numFmtId="0" fontId="31" fillId="18" borderId="2" xfId="0" applyFont="1" applyFill="1" applyBorder="1" applyAlignment="1">
      <alignment horizontal="center" wrapText="1"/>
    </xf>
    <xf numFmtId="0" fontId="33" fillId="17" borderId="2" xfId="0" applyFont="1" applyFill="1" applyBorder="1" applyAlignment="1">
      <alignment horizontal="center" wrapText="1"/>
    </xf>
    <xf numFmtId="14" fontId="0" fillId="28" borderId="2" xfId="0" applyNumberFormat="1" applyFill="1" applyBorder="1"/>
    <xf numFmtId="0" fontId="0" fillId="28" borderId="2" xfId="0" applyFill="1" applyBorder="1"/>
    <xf numFmtId="0" fontId="0" fillId="17" borderId="2" xfId="0" applyFill="1" applyBorder="1"/>
    <xf numFmtId="0" fontId="5" fillId="17" borderId="2" xfId="0" applyFont="1" applyFill="1" applyBorder="1"/>
    <xf numFmtId="14" fontId="31" fillId="27" borderId="2" xfId="0" applyNumberFormat="1" applyFont="1" applyFill="1" applyBorder="1" applyAlignment="1">
      <alignment horizontal="center" vertical="center" wrapText="1"/>
    </xf>
    <xf numFmtId="1" fontId="31" fillId="27" borderId="2" xfId="0" applyNumberFormat="1" applyFont="1" applyFill="1" applyBorder="1" applyAlignment="1">
      <alignment horizontal="center" vertical="center" wrapText="1"/>
    </xf>
    <xf numFmtId="0" fontId="31" fillId="27" borderId="2" xfId="0" applyFont="1" applyFill="1" applyBorder="1" applyAlignment="1">
      <alignment horizontal="center" vertical="center" wrapText="1"/>
    </xf>
    <xf numFmtId="0" fontId="31" fillId="27" borderId="2" xfId="0" applyFont="1" applyFill="1" applyBorder="1" applyAlignment="1">
      <alignment horizontal="center" wrapText="1"/>
    </xf>
    <xf numFmtId="0" fontId="0" fillId="27" borderId="2" xfId="0" applyFill="1" applyBorder="1"/>
    <xf numFmtId="0" fontId="31" fillId="19" borderId="2" xfId="0" applyFont="1" applyFill="1" applyBorder="1" applyAlignment="1">
      <alignment horizontal="center" wrapText="1"/>
    </xf>
    <xf numFmtId="0" fontId="0" fillId="27" borderId="2" xfId="0" applyFill="1" applyBorder="1" applyAlignment="1">
      <alignment horizontal="center"/>
    </xf>
    <xf numFmtId="0" fontId="8" fillId="15" borderId="2" xfId="0" applyFont="1" applyFill="1" applyBorder="1" applyAlignment="1">
      <alignment horizontal="center"/>
    </xf>
    <xf numFmtId="0" fontId="5" fillId="0" borderId="2" xfId="0" applyFont="1" applyBorder="1"/>
    <xf numFmtId="2" fontId="5" fillId="0" borderId="2" xfId="0" applyNumberFormat="1" applyFont="1" applyBorder="1"/>
    <xf numFmtId="0" fontId="31" fillId="29" borderId="2" xfId="0" applyFont="1" applyFill="1" applyBorder="1" applyAlignment="1">
      <alignment horizontal="center"/>
    </xf>
    <xf numFmtId="0" fontId="0" fillId="29" borderId="2" xfId="0" applyFill="1" applyBorder="1"/>
    <xf numFmtId="14" fontId="31" fillId="29" borderId="2" xfId="0" applyNumberFormat="1" applyFont="1" applyFill="1" applyBorder="1" applyAlignment="1">
      <alignment horizontal="center"/>
    </xf>
    <xf numFmtId="1" fontId="31" fillId="0" borderId="2" xfId="0" applyNumberFormat="1" applyFont="1" applyBorder="1" applyAlignment="1">
      <alignment horizontal="center"/>
    </xf>
    <xf numFmtId="14" fontId="0" fillId="17" borderId="2" xfId="0" applyNumberFormat="1" applyFill="1" applyBorder="1"/>
    <xf numFmtId="16" fontId="0" fillId="0" borderId="5" xfId="0" applyNumberFormat="1" applyBorder="1" applyAlignment="1">
      <alignment horizontal="right" wrapText="1"/>
    </xf>
    <xf numFmtId="49" fontId="0" fillId="0" borderId="5" xfId="0" applyNumberFormat="1" applyBorder="1" applyAlignment="1">
      <alignment horizontal="right" wrapText="1"/>
    </xf>
    <xf numFmtId="169" fontId="23" fillId="0" borderId="5" xfId="1" applyNumberFormat="1" applyBorder="1" applyAlignment="1">
      <alignment horizontal="right" wrapText="1"/>
    </xf>
    <xf numFmtId="14" fontId="0" fillId="0" borderId="2" xfId="0" applyNumberFormat="1" applyBorder="1" applyAlignment="1">
      <alignment wrapText="1"/>
    </xf>
    <xf numFmtId="9" fontId="23" fillId="0" borderId="0" xfId="1"/>
    <xf numFmtId="2" fontId="0" fillId="0" borderId="2" xfId="0" applyNumberFormat="1" applyBorder="1" applyAlignment="1">
      <alignment wrapText="1"/>
    </xf>
    <xf numFmtId="0" fontId="4" fillId="0" borderId="2" xfId="0" applyFont="1" applyBorder="1"/>
    <xf numFmtId="14" fontId="25" fillId="4" borderId="8" xfId="0" applyNumberFormat="1" applyFont="1" applyFill="1" applyBorder="1" applyAlignment="1">
      <alignment wrapText="1"/>
    </xf>
    <xf numFmtId="14" fontId="25" fillId="4" borderId="4" xfId="0" applyNumberFormat="1" applyFont="1" applyFill="1" applyBorder="1" applyAlignment="1">
      <alignment wrapText="1"/>
    </xf>
    <xf numFmtId="0" fontId="26" fillId="5" borderId="10" xfId="0" applyFont="1" applyFill="1" applyBorder="1" applyAlignment="1">
      <alignment horizontal="right"/>
    </xf>
    <xf numFmtId="0" fontId="26" fillId="5" borderId="5" xfId="0" applyFont="1" applyFill="1" applyBorder="1" applyAlignment="1">
      <alignment horizontal="right"/>
    </xf>
    <xf numFmtId="0" fontId="26" fillId="5" borderId="11" xfId="0" applyFont="1" applyFill="1" applyBorder="1" applyAlignment="1">
      <alignment horizontal="right"/>
    </xf>
    <xf numFmtId="2" fontId="0" fillId="17" borderId="0" xfId="0" applyNumberFormat="1" applyFill="1"/>
    <xf numFmtId="2" fontId="0" fillId="17" borderId="2" xfId="0" applyNumberFormat="1" applyFill="1" applyBorder="1"/>
    <xf numFmtId="2" fontId="0" fillId="27" borderId="0" xfId="0" applyNumberFormat="1" applyFill="1"/>
    <xf numFmtId="2" fontId="0" fillId="27" borderId="2" xfId="0" applyNumberFormat="1" applyFill="1" applyBorder="1"/>
    <xf numFmtId="2" fontId="0" fillId="17" borderId="2" xfId="0" applyNumberFormat="1" applyFill="1" applyBorder="1" applyAlignment="1">
      <alignment horizontal="center" wrapText="1"/>
    </xf>
    <xf numFmtId="2" fontId="0" fillId="27" borderId="2" xfId="0" applyNumberFormat="1" applyFill="1" applyBorder="1" applyAlignment="1">
      <alignment horizontal="center" wrapText="1"/>
    </xf>
    <xf numFmtId="0" fontId="25" fillId="0" borderId="1" xfId="0" applyFont="1" applyBorder="1" applyAlignment="1">
      <alignment wrapText="1"/>
    </xf>
    <xf numFmtId="0" fontId="26" fillId="0" borderId="14" xfId="0" applyFont="1" applyBorder="1" applyAlignment="1">
      <alignment horizontal="right" wrapText="1"/>
    </xf>
    <xf numFmtId="0" fontId="26" fillId="0" borderId="4" xfId="0" applyFont="1" applyBorder="1" applyAlignment="1">
      <alignment horizontal="right" wrapText="1"/>
    </xf>
    <xf numFmtId="0" fontId="26" fillId="0" borderId="0" xfId="0" applyFont="1" applyAlignment="1">
      <alignment horizontal="right" wrapText="1"/>
    </xf>
    <xf numFmtId="0" fontId="25" fillId="0" borderId="13" xfId="0" applyFont="1" applyBorder="1" applyAlignment="1">
      <alignment wrapText="1"/>
    </xf>
    <xf numFmtId="0" fontId="10" fillId="30" borderId="33" xfId="0" applyFont="1" applyFill="1" applyBorder="1" applyAlignment="1">
      <alignment horizontal="center"/>
    </xf>
    <xf numFmtId="0" fontId="10" fillId="17" borderId="33" xfId="0" applyFont="1" applyFill="1" applyBorder="1" applyAlignment="1">
      <alignment horizontal="center"/>
    </xf>
    <xf numFmtId="14" fontId="25" fillId="0" borderId="1" xfId="0" applyNumberFormat="1" applyFont="1" applyBorder="1" applyAlignment="1">
      <alignment wrapText="1"/>
    </xf>
    <xf numFmtId="14" fontId="0" fillId="31" borderId="2" xfId="0" applyNumberFormat="1" applyFill="1" applyBorder="1"/>
    <xf numFmtId="0" fontId="0" fillId="31" borderId="2" xfId="0" applyFill="1" applyBorder="1"/>
    <xf numFmtId="2" fontId="0" fillId="31" borderId="2" xfId="0" applyNumberFormat="1" applyFill="1" applyBorder="1"/>
    <xf numFmtId="2" fontId="0" fillId="31" borderId="10" xfId="0" applyNumberFormat="1" applyFill="1" applyBorder="1"/>
    <xf numFmtId="0" fontId="37" fillId="32" borderId="0" xfId="0" applyFont="1" applyFill="1"/>
    <xf numFmtId="0" fontId="38" fillId="0" borderId="0" xfId="0" applyFont="1"/>
    <xf numFmtId="0" fontId="39" fillId="0" borderId="0" xfId="0" applyFont="1"/>
    <xf numFmtId="0" fontId="30" fillId="0" borderId="2" xfId="0" applyFont="1" applyBorder="1"/>
    <xf numFmtId="0" fontId="38" fillId="0" borderId="2" xfId="0" applyFont="1" applyBorder="1"/>
    <xf numFmtId="0" fontId="35" fillId="0" borderId="2" xfId="0" applyFont="1" applyBorder="1"/>
    <xf numFmtId="0" fontId="30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0" xfId="0" applyFont="1"/>
    <xf numFmtId="0" fontId="10" fillId="4" borderId="33" xfId="0" applyFont="1" applyFill="1" applyBorder="1" applyAlignment="1">
      <alignment horizontal="center"/>
    </xf>
    <xf numFmtId="0" fontId="10" fillId="30" borderId="3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0" borderId="2" xfId="0" applyFont="1" applyBorder="1" applyAlignment="1">
      <alignment horizontal="left"/>
    </xf>
    <xf numFmtId="0" fontId="0" fillId="33" borderId="2" xfId="0" applyFill="1" applyBorder="1"/>
    <xf numFmtId="0" fontId="3" fillId="33" borderId="2" xfId="0" applyFont="1" applyFill="1" applyBorder="1"/>
    <xf numFmtId="0" fontId="2" fillId="0" borderId="0" xfId="0" applyFont="1"/>
    <xf numFmtId="0" fontId="10" fillId="0" borderId="0" xfId="0" applyFont="1" applyFill="1" applyAlignment="1">
      <alignment horizontal="center"/>
    </xf>
    <xf numFmtId="0" fontId="26" fillId="0" borderId="0" xfId="0" applyFont="1" applyAlignment="1">
      <alignment horizontal="center"/>
    </xf>
    <xf numFmtId="0" fontId="1" fillId="0" borderId="2" xfId="0" applyFont="1" applyBorder="1"/>
    <xf numFmtId="0" fontId="21" fillId="14" borderId="2" xfId="3" applyFont="1" applyBorder="1" applyAlignment="1">
      <alignment horizontal="center" vertical="center"/>
    </xf>
    <xf numFmtId="0" fontId="0" fillId="0" borderId="15" xfId="0" applyBorder="1"/>
    <xf numFmtId="0" fontId="0" fillId="0" borderId="1" xfId="0" applyBorder="1"/>
    <xf numFmtId="0" fontId="14" fillId="14" borderId="16" xfId="0" applyFont="1" applyFill="1" applyBorder="1" applyAlignment="1">
      <alignment horizontal="center" wrapText="1"/>
    </xf>
    <xf numFmtId="0" fontId="0" fillId="0" borderId="17" xfId="0" applyBorder="1"/>
    <xf numFmtId="0" fontId="0" fillId="0" borderId="18" xfId="0" applyBorder="1"/>
    <xf numFmtId="0" fontId="13" fillId="12" borderId="2" xfId="2" applyBorder="1" applyAlignment="1">
      <alignment horizontal="center" vertical="center" wrapText="1"/>
    </xf>
    <xf numFmtId="0" fontId="0" fillId="0" borderId="6" xfId="0" applyBorder="1"/>
    <xf numFmtId="0" fontId="13" fillId="12" borderId="2" xfId="2" applyBorder="1" applyAlignment="1">
      <alignment horizontal="center" wrapText="1"/>
    </xf>
    <xf numFmtId="0" fontId="13" fillId="12" borderId="10" xfId="2" applyBorder="1" applyAlignment="1">
      <alignment horizontal="center" vertical="center" wrapText="1"/>
    </xf>
    <xf numFmtId="0" fontId="13" fillId="12" borderId="1" xfId="2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30" fillId="0" borderId="12" xfId="0" applyFont="1" applyBorder="1" applyAlignment="1">
      <alignment horizontal="center"/>
    </xf>
    <xf numFmtId="0" fontId="12" fillId="11" borderId="2" xfId="0" applyFont="1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12" fillId="11" borderId="2" xfId="0" applyFont="1" applyFill="1" applyBorder="1" applyAlignment="1">
      <alignment horizontal="center" vertical="center" wrapText="1"/>
    </xf>
    <xf numFmtId="0" fontId="12" fillId="11" borderId="5" xfId="0" applyFont="1" applyFill="1" applyBorder="1" applyAlignment="1">
      <alignment horizontal="center" wrapText="1"/>
    </xf>
    <xf numFmtId="0" fontId="12" fillId="11" borderId="6" xfId="0" applyFont="1" applyFill="1" applyBorder="1" applyAlignment="1">
      <alignment horizontal="center" wrapText="1"/>
    </xf>
    <xf numFmtId="0" fontId="3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5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/>
    </xf>
  </cellXfs>
  <cellStyles count="4">
    <cellStyle name="Bueno" xfId="3" builtinId="26"/>
    <cellStyle name="Cálculo" xfId="2" builtinId="22"/>
    <cellStyle name="Normal" xfId="0" builtinId="0"/>
    <cellStyle name="Porcentaje" xfId="1" builtinId="5"/>
  </cellStyles>
  <dxfs count="39">
    <dxf>
      <font>
        <strike val="0"/>
        <sz val="11"/>
        <name val="Calibri"/>
        <family val="2"/>
        <scheme val="none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1"/>
        <color rgb="FF000000"/>
        <name val="Calibri"/>
        <family val="2"/>
        <scheme val="none"/>
      </font>
      <numFmt numFmtId="19" formatCode="d/m/yyyy"/>
      <alignment horizontal="left"/>
      <border>
        <left/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right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righ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righ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righ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righ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righ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righ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righ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righ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righ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righ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righ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righ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19" formatCode="d/m/yyyy"/>
      <fill>
        <patternFill patternType="solid">
          <fgColor theme="4" tint="0.59999389629810485"/>
          <bgColor theme="4" tint="0.59999389629810485"/>
        </patternFill>
      </fill>
      <alignment wrapText="1"/>
      <border>
        <left/>
        <right style="thin">
          <color auto="1"/>
        </right>
        <top style="thin">
          <color theme="0"/>
        </top>
        <bottom style="thin">
          <color auto="1"/>
        </bottom>
      </border>
    </dxf>
    <dxf>
      <font>
        <strike val="0"/>
        <sz val="11"/>
        <color rgb="FF000000"/>
        <name val="Calibri"/>
        <family val="2"/>
        <scheme val="none"/>
      </font>
      <alignment horizontal="right" wrapText="1"/>
      <border>
        <left/>
        <right/>
        <top/>
        <bottom style="thin">
          <color auto="1"/>
        </bottom>
      </border>
    </dxf>
    <dxf>
      <font>
        <strike val="0"/>
        <sz val="11"/>
        <color rgb="FF000000"/>
        <name val="Calibri"/>
        <family val="2"/>
        <scheme val="none"/>
      </font>
      <alignment horizontal="right" wrapText="1"/>
      <border>
        <left/>
        <right style="thin">
          <color auto="1"/>
        </right>
        <top/>
        <bottom style="thin">
          <color auto="1"/>
        </bottom>
      </border>
    </dxf>
    <dxf>
      <font>
        <strike val="0"/>
        <sz val="11"/>
        <color rgb="FF000000"/>
        <name val="Calibri"/>
        <family val="2"/>
        <scheme val="none"/>
      </font>
      <alignment horizontal="right" wrapText="1"/>
      <border>
        <left/>
        <right style="thin">
          <color auto="1"/>
        </right>
        <top/>
        <bottom style="thin">
          <color auto="1"/>
        </bottom>
      </border>
    </dxf>
    <dxf>
      <font>
        <strike val="0"/>
        <sz val="11"/>
        <color rgb="FF000000"/>
        <name val="Calibri"/>
        <family val="2"/>
        <scheme val="none"/>
      </font>
      <alignment horizontal="right" wrapText="1"/>
      <border>
        <left/>
        <right style="thin">
          <color auto="1"/>
        </right>
        <top/>
        <bottom style="thin">
          <color auto="1"/>
        </bottom>
      </border>
    </dxf>
    <dxf>
      <font>
        <strike val="0"/>
        <sz val="11"/>
        <color rgb="FF000000"/>
        <name val="Calibri"/>
        <family val="2"/>
        <scheme val="none"/>
      </font>
      <alignment horizontal="right" wrapText="1"/>
      <border>
        <left/>
        <right style="thin">
          <color auto="1"/>
        </right>
        <top/>
        <bottom style="thin">
          <color auto="1"/>
        </bottom>
      </border>
    </dxf>
    <dxf>
      <font>
        <strike val="0"/>
        <sz val="11"/>
        <color rgb="FF000000"/>
        <name val="Calibri"/>
        <family val="2"/>
        <scheme val="none"/>
      </font>
      <alignment horizontal="right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sz val="11"/>
        <name val="Calibri"/>
        <family val="2"/>
        <scheme val="none"/>
      </font>
      <numFmt numFmtId="0" formatCode="General"/>
      <alignment wrapText="1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 patternType="solid">
          <bgColor rgb="FFF25C5C"/>
        </patternFill>
      </fill>
    </dxf>
    <dxf>
      <font>
        <b/>
        <color theme="0"/>
      </font>
      <fill>
        <patternFill patternType="solid">
          <bgColor theme="9" tint="0.59996337778862885"/>
        </patternFill>
      </fill>
    </dxf>
    <dxf>
      <alignment horizontal="left"/>
    </dxf>
    <dxf>
      <alignment horizontal="left"/>
    </dxf>
    <dxf>
      <alignment horizontal="left"/>
    </dxf>
    <dxf>
      <alignment horizontal="center"/>
    </dxf>
    <dxf>
      <font>
        <strike val="0"/>
        <sz val="11"/>
        <color rgb="FF000000"/>
        <name val="Calibri"/>
        <family val="2"/>
        <scheme val="none"/>
      </font>
      <alignment horizontal="center"/>
    </dxf>
    <dxf>
      <font>
        <color rgb="FF000000"/>
      </font>
      <fill>
        <patternFill patternType="none"/>
      </fill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D1:L39" totalsRowShown="0">
  <autoFilter ref="D1:L39" xr:uid="{00000000-0009-0000-0100-000001000000}"/>
  <tableColumns count="9">
    <tableColumn id="1" xr3:uid="{00000000-0010-0000-0000-000001000000}" name="ESTADO" dataDxfId="36"/>
    <tableColumn id="2" xr3:uid="{00000000-0010-0000-0000-000002000000}" name="PROVEEDOR" dataDxfId="35"/>
    <tableColumn id="3" xr3:uid="{00000000-0010-0000-0000-000003000000}" name="EXPIRACION" dataDxfId="34"/>
    <tableColumn id="4" xr3:uid="{00000000-0010-0000-0000-000004000000}" name="ENTRADA" dataDxfId="33"/>
    <tableColumn id="5" xr3:uid="{00000000-0010-0000-0000-000005000000}" name="STOCK MINIMO" dataDxfId="32"/>
    <tableColumn id="6" xr3:uid="{00000000-0010-0000-0000-000006000000}" name="CONDICION" dataDxfId="31"/>
    <tableColumn id="7" xr3:uid="{00000000-0010-0000-0000-000007000000}" name="STOCK INICIAL" dataDxfId="30"/>
    <tableColumn id="9" xr3:uid="{00000000-0010-0000-0000-000009000000}" name="STOCK OCUPADO" dataDxfId="29">
      <calculatedColumnFormula>SUMIFS('CUAJADA DINAMICO'!C:C,'CUAJADA DINAMICO'!A:A,$Z$1)</calculatedColumnFormula>
    </tableColumn>
    <tableColumn id="8" xr3:uid="{00000000-0010-0000-0000-000008000000}" name="STOCK RESTANTE" dataDxfId="28">
      <calculatedColumnFormula>+Tabla1[[#This Row],[STOCK INICIAL]]-Tabla1[[#This Row],[STOCK OCUPADO]]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6" displayName="Tabla6" ref="A1:C39" totalsRowShown="0">
  <autoFilter ref="A1:C39" xr:uid="{00000000-0009-0000-0100-000002000000}"/>
  <tableColumns count="3">
    <tableColumn id="1" xr3:uid="{00000000-0010-0000-0100-000001000000}" name="N°" dataDxfId="27"/>
    <tableColumn id="2" xr3:uid="{00000000-0010-0000-0100-000002000000}" name="NOMBRE" dataDxfId="26"/>
    <tableColumn id="3" xr3:uid="{00000000-0010-0000-0100-000003000000}" name="PRESENTACION" dataDxfId="2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7" displayName="Tabla7" ref="M1:M39" totalsRowShown="0">
  <autoFilter ref="M1:M39" xr:uid="{00000000-0009-0000-0100-000003000000}"/>
  <tableColumns count="1">
    <tableColumn id="1" xr3:uid="{00000000-0010-0000-0200-000001000000}" name="CONDICI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INVENTARIO" displayName="TBL_INVENTARIO" ref="A1:L28" totalsRowShown="0">
  <autoFilter ref="A1:L28" xr:uid="{00000000-0009-0000-0100-000004000000}"/>
  <tableColumns count="12">
    <tableColumn id="1" xr3:uid="{00000000-0010-0000-0300-000001000000}" name="INSUMOS GRULAC S.R.L."/>
    <tableColumn id="2" xr3:uid="{00000000-0010-0000-0300-000002000000}" name="NAN"/>
    <tableColumn id="3" xr3:uid="{00000000-0010-0000-0300-000003000000}" name="NAN_1"/>
    <tableColumn id="4" xr3:uid="{00000000-0010-0000-0300-000004000000}" name="NAN_2"/>
    <tableColumn id="5" xr3:uid="{00000000-0010-0000-0300-000005000000}" name="NAN_3"/>
    <tableColumn id="6" xr3:uid="{00000000-0010-0000-0300-000006000000}" name="NAN_4"/>
    <tableColumn id="7" xr3:uid="{00000000-0010-0000-0300-000007000000}" name="NAN_5"/>
    <tableColumn id="8" xr3:uid="{00000000-0010-0000-0300-000008000000}" name="NAN_6"/>
    <tableColumn id="9" xr3:uid="{00000000-0010-0000-0300-000009000000}" name="NAN_7"/>
    <tableColumn id="10" xr3:uid="{00000000-0010-0000-0300-00000A000000}" name="NAN_8"/>
    <tableColumn id="11" xr3:uid="{00000000-0010-0000-0300-00000B000000}" name="NAN_9"/>
    <tableColumn id="12" xr3:uid="{00000000-0010-0000-0300-00000C000000}" name="NAN_10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5" displayName="Tabla5" ref="A1:G17" totalsRowShown="0">
  <autoFilter ref="A1:G17" xr:uid="{00000000-0009-0000-0100-000005000000}"/>
  <tableColumns count="7">
    <tableColumn id="1" xr3:uid="{00000000-0010-0000-0400-000001000000}" name="FECHA" dataDxfId="22"/>
    <tableColumn id="2" xr3:uid="{00000000-0010-0000-0400-000002000000}" name="AZUCAR" dataDxfId="21"/>
    <tableColumn id="3" xr3:uid="{00000000-0010-0000-0400-000003000000}" name="PERFECTAMYL GEL" dataDxfId="20"/>
    <tableColumn id="4" xr3:uid="{00000000-0010-0000-0400-000004000000}" name="AGAR AGAR" dataDxfId="19"/>
    <tableColumn id="5" xr3:uid="{00000000-0010-0000-0400-000005000000}" name="BICARBONATO DE SODIO" dataDxfId="18"/>
    <tableColumn id="6" xr3:uid="{00000000-0010-0000-0400-000006000000}" name="SORBATO DE POTASIO" dataDxfId="17"/>
    <tableColumn id="7" xr3:uid="{00000000-0010-0000-0400-000007000000}" name="VAINILLA" dataDxfId="16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abla8" displayName="Tabla8" ref="A1:N19" totalsRowShown="0">
  <autoFilter ref="A1:N19" xr:uid="{00000000-0009-0000-0100-000007000000}"/>
  <tableColumns count="14">
    <tableColumn id="1" xr3:uid="{00000000-0010-0000-0500-000001000000}" name="1,453" dataDxfId="15"/>
    <tableColumn id="2" xr3:uid="{00000000-0010-0000-0500-000002000000}" name="MANTEQUILLA" dataDxfId="14"/>
    <tableColumn id="3" xr3:uid="{00000000-0010-0000-0500-000003000000}" name="AGUA" dataDxfId="13"/>
    <tableColumn id="4" xr3:uid="{00000000-0010-0000-0500-000004000000}" name="SUERO EN POLVO" dataDxfId="12"/>
    <tableColumn id="5" xr3:uid="{00000000-0010-0000-0500-000005000000}" name="PERFECTAMYL EN GEL" dataDxfId="11"/>
    <tableColumn id="6" xr3:uid="{00000000-0010-0000-0500-000006000000}" name="SAL ICL" dataDxfId="10"/>
    <tableColumn id="7" xr3:uid="{00000000-0010-0000-0500-000007000000}" name="SAZONADOR DE QUESO CHEDDAR EN POLVO" dataDxfId="9"/>
    <tableColumn id="8" xr3:uid="{00000000-0010-0000-0500-000008000000}" name="ACIDO LACTICO AL 80%" dataDxfId="8"/>
    <tableColumn id="9" xr3:uid="{00000000-0010-0000-0500-000009000000}" name="ACIDO CITRICO" dataDxfId="7"/>
    <tableColumn id="10" xr3:uid="{00000000-0010-0000-0500-00000A000000}" name="ACIDO FOSFORICO AL 85%" dataDxfId="6"/>
    <tableColumn id="11" xr3:uid="{00000000-0010-0000-0500-00000B000000}" name="SORBATO DE POTASIO" dataDxfId="5"/>
    <tableColumn id="12" xr3:uid="{00000000-0010-0000-0500-00000C000000}" name="GELATINA EN POLVO" dataDxfId="4"/>
    <tableColumn id="13" xr3:uid="{00000000-0010-0000-0500-00000D000000}" name="COLORANTE DE URUCUM ACHIOTE" dataDxfId="3"/>
    <tableColumn id="14" xr3:uid="{00000000-0010-0000-0500-00000E000000}" name="ESENCIA DE QUESO CHEDDAR RB 2831" dataDxfId="2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Tabla13" displayName="Tabla13" ref="A1:B198" totalsRowShown="0">
  <autoFilter ref="A1:B198" xr:uid="{00000000-0009-0000-0100-000006000000}"/>
  <tableColumns count="2">
    <tableColumn id="1" xr3:uid="{00000000-0010-0000-0600-000001000000}" name="FECHA" dataDxfId="1">
      <calculatedColumnFormula>HILADO!A2</calculatedColumnFormula>
    </tableColumn>
    <tableColumn id="2" xr3:uid="{00000000-0010-0000-0600-000002000000}" name="ALMIDON MODIFICADO" dataDxfId="0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abla9" displayName="Tabla9" ref="A1:D61" totalsRowShown="0">
  <autoFilter ref="A1:D61" xr:uid="{00000000-0009-0000-0100-000009000000}"/>
  <tableColumns count="4">
    <tableColumn id="1" xr3:uid="{00000000-0010-0000-0700-000001000000}" name="FECHA">
      <calculatedColumnFormula>CUAJADA!A2</calculatedColumnFormula>
    </tableColumn>
    <tableColumn id="2" xr3:uid="{00000000-0010-0000-0700-000002000000}" name="FERMENTO HANSEN">
      <calculatedColumnFormula>CUAJADA!G2</calculatedColumnFormula>
    </tableColumn>
    <tableColumn id="3" xr3:uid="{00000000-0010-0000-0700-000003000000}" name="CUAJO ALBAMAX">
      <calculatedColumnFormula>CUAJADA!N2</calculatedColumnFormula>
    </tableColumn>
    <tableColumn id="4" xr3:uid="{00000000-0010-0000-0700-000004000000}" name="CLORURO DE CALCIO">
      <calculatedColumnFormula>CUAJADA!K2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B977B-64EF-41C7-B3B0-1E66ECB909D0}">
  <dimension ref="A1:S154"/>
  <sheetViews>
    <sheetView topLeftCell="C1" workbookViewId="0">
      <pane ySplit="1" topLeftCell="A130" activePane="bottomLeft" state="frozen"/>
      <selection pane="bottomLeft" activeCell="R154" sqref="R154"/>
    </sheetView>
  </sheetViews>
  <sheetFormatPr baseColWidth="10" defaultRowHeight="14.4"/>
  <cols>
    <col min="1" max="2" width="11.5546875" style="7"/>
    <col min="3" max="3" width="12.5546875" style="7" customWidth="1"/>
    <col min="4" max="4" width="11.5546875" style="7"/>
    <col min="5" max="5" width="18.77734375" style="7" customWidth="1"/>
    <col min="6" max="7" width="11.5546875" style="7"/>
    <col min="8" max="9" width="14" style="7" customWidth="1"/>
    <col min="10" max="10" width="13.33203125" style="7" customWidth="1"/>
    <col min="11" max="11" width="9.33203125" style="7" customWidth="1"/>
    <col min="12" max="12" width="6.33203125" style="7" customWidth="1"/>
    <col min="13" max="13" width="10" style="7" customWidth="1"/>
    <col min="14" max="14" width="8" style="7" customWidth="1"/>
    <col min="15" max="15" width="16" style="7" customWidth="1"/>
    <col min="16" max="16" width="10.44140625" style="7" customWidth="1"/>
    <col min="17" max="17" width="14.77734375" style="7" customWidth="1"/>
    <col min="18" max="18" width="18.77734375" style="7" customWidth="1"/>
    <col min="19" max="16384" width="11.5546875" style="7"/>
  </cols>
  <sheetData>
    <row r="1" spans="1:18" s="133" customFormat="1" ht="41.4" customHeight="1">
      <c r="A1" s="135" t="s">
        <v>267</v>
      </c>
      <c r="B1" s="135" t="s">
        <v>423</v>
      </c>
      <c r="C1" s="135" t="s">
        <v>424</v>
      </c>
      <c r="D1" s="135" t="s">
        <v>425</v>
      </c>
      <c r="E1" s="135" t="s">
        <v>426</v>
      </c>
      <c r="F1" s="135" t="s">
        <v>427</v>
      </c>
      <c r="G1" s="135" t="s">
        <v>437</v>
      </c>
      <c r="H1" s="135" t="s">
        <v>435</v>
      </c>
      <c r="I1" s="135" t="s">
        <v>436</v>
      </c>
      <c r="J1" s="135" t="s">
        <v>448</v>
      </c>
      <c r="K1" s="135" t="s">
        <v>429</v>
      </c>
      <c r="L1" s="135" t="s">
        <v>428</v>
      </c>
      <c r="M1" s="135" t="s">
        <v>430</v>
      </c>
      <c r="N1" s="135" t="s">
        <v>439</v>
      </c>
      <c r="O1" s="135" t="s">
        <v>431</v>
      </c>
      <c r="P1" s="135" t="s">
        <v>432</v>
      </c>
      <c r="Q1" s="135" t="s">
        <v>440</v>
      </c>
      <c r="R1" s="135" t="s">
        <v>3</v>
      </c>
    </row>
    <row r="2" spans="1:18">
      <c r="A2" s="35">
        <v>46030</v>
      </c>
      <c r="C2" s="42"/>
    </row>
    <row r="3" spans="1:18">
      <c r="A3" s="35">
        <v>46031</v>
      </c>
    </row>
    <row r="4" spans="1:18">
      <c r="A4" s="35">
        <v>46032</v>
      </c>
    </row>
    <row r="5" spans="1:18">
      <c r="A5" s="35">
        <v>46033</v>
      </c>
    </row>
    <row r="6" spans="1:18">
      <c r="A6" s="35">
        <v>46034</v>
      </c>
    </row>
    <row r="7" spans="1:18">
      <c r="A7" s="35">
        <v>46035</v>
      </c>
      <c r="C7" s="42">
        <v>0.46319444444444446</v>
      </c>
      <c r="D7" s="7">
        <v>3160</v>
      </c>
      <c r="E7" s="134" t="s">
        <v>434</v>
      </c>
      <c r="F7" s="7">
        <v>6.91</v>
      </c>
      <c r="G7" s="7">
        <v>18</v>
      </c>
      <c r="K7" s="134"/>
      <c r="M7" s="7">
        <v>28.4</v>
      </c>
      <c r="N7" s="7">
        <v>5.14</v>
      </c>
      <c r="O7" s="7">
        <v>48.3</v>
      </c>
      <c r="P7" s="7">
        <v>3.22</v>
      </c>
    </row>
    <row r="8" spans="1:18">
      <c r="A8" s="35">
        <v>46035</v>
      </c>
      <c r="C8" s="42"/>
      <c r="E8" s="134"/>
      <c r="G8" s="7">
        <v>18</v>
      </c>
      <c r="I8" s="7">
        <v>775</v>
      </c>
      <c r="J8" s="7" t="s">
        <v>438</v>
      </c>
      <c r="K8" s="134">
        <v>3.2</v>
      </c>
      <c r="L8" s="7">
        <v>8.09</v>
      </c>
      <c r="M8" s="7">
        <v>28.9</v>
      </c>
      <c r="N8" s="7">
        <v>5.56</v>
      </c>
      <c r="O8" s="7">
        <v>48.1</v>
      </c>
      <c r="P8" s="7">
        <v>3.2</v>
      </c>
    </row>
    <row r="9" spans="1:18">
      <c r="A9" s="35">
        <v>46035</v>
      </c>
      <c r="C9" s="42"/>
      <c r="E9" s="134"/>
      <c r="G9" s="7">
        <v>17</v>
      </c>
      <c r="I9" s="7">
        <v>758</v>
      </c>
      <c r="J9" s="7" t="s">
        <v>438</v>
      </c>
      <c r="K9" s="134">
        <v>2.7</v>
      </c>
      <c r="L9" s="7">
        <v>8.17</v>
      </c>
      <c r="M9" s="7">
        <v>29.6</v>
      </c>
      <c r="N9" s="7">
        <v>4.6100000000000003</v>
      </c>
      <c r="O9" s="7">
        <v>48.6</v>
      </c>
      <c r="P9" s="7">
        <v>3.22</v>
      </c>
    </row>
    <row r="10" spans="1:18">
      <c r="A10" s="35">
        <v>46036</v>
      </c>
      <c r="C10" s="42">
        <v>0.3972222222222222</v>
      </c>
      <c r="D10" s="7">
        <v>3200</v>
      </c>
      <c r="F10" s="7">
        <v>6.81</v>
      </c>
      <c r="G10" s="7">
        <v>118</v>
      </c>
      <c r="I10" s="7">
        <v>854</v>
      </c>
      <c r="J10" s="7" t="s">
        <v>438</v>
      </c>
      <c r="K10" s="7">
        <v>4.21</v>
      </c>
      <c r="L10" s="7">
        <v>8.25</v>
      </c>
      <c r="M10" s="7">
        <v>28.6</v>
      </c>
      <c r="N10" s="7">
        <v>3.87</v>
      </c>
      <c r="O10" s="7">
        <v>49</v>
      </c>
      <c r="P10" s="7">
        <v>3.27</v>
      </c>
    </row>
    <row r="11" spans="1:18">
      <c r="A11" s="35"/>
      <c r="G11" s="7">
        <v>16</v>
      </c>
      <c r="I11" s="7">
        <v>987</v>
      </c>
      <c r="J11" s="7" t="s">
        <v>438</v>
      </c>
      <c r="K11" s="7">
        <v>3.7</v>
      </c>
      <c r="L11" s="7">
        <v>7.91</v>
      </c>
      <c r="M11" s="7">
        <v>27.7</v>
      </c>
      <c r="N11" s="7">
        <v>7.61</v>
      </c>
      <c r="O11" s="7">
        <v>46.9</v>
      </c>
      <c r="P11" s="7">
        <v>3.14</v>
      </c>
    </row>
    <row r="12" spans="1:18">
      <c r="A12" s="35"/>
      <c r="G12" s="7">
        <v>18</v>
      </c>
      <c r="I12" s="7">
        <v>895</v>
      </c>
      <c r="J12" s="7" t="s">
        <v>438</v>
      </c>
      <c r="K12" s="7">
        <v>3.78</v>
      </c>
      <c r="L12" s="7">
        <v>8.0299999999999994</v>
      </c>
      <c r="M12" s="7">
        <v>28.1</v>
      </c>
      <c r="N12" s="7">
        <v>6.25</v>
      </c>
      <c r="O12" s="7">
        <v>47.7</v>
      </c>
      <c r="P12" s="7">
        <v>3.18</v>
      </c>
    </row>
    <row r="13" spans="1:18">
      <c r="A13" s="35">
        <v>46037</v>
      </c>
      <c r="D13" s="7">
        <v>3130</v>
      </c>
      <c r="F13" s="7">
        <v>6.08</v>
      </c>
      <c r="G13" s="7">
        <v>17</v>
      </c>
      <c r="I13" s="7">
        <v>908</v>
      </c>
      <c r="J13" s="7" t="s">
        <v>438</v>
      </c>
      <c r="K13" s="7">
        <v>3.79</v>
      </c>
      <c r="L13" s="7">
        <v>8.2899999999999991</v>
      </c>
      <c r="M13" s="7">
        <v>29.1</v>
      </c>
      <c r="N13" s="7">
        <v>3.33</v>
      </c>
      <c r="O13" s="7">
        <v>99.3</v>
      </c>
      <c r="P13" s="7">
        <v>3.28</v>
      </c>
    </row>
    <row r="14" spans="1:18">
      <c r="A14" s="35"/>
      <c r="F14" s="7">
        <v>6.8</v>
      </c>
      <c r="G14" s="7">
        <v>18</v>
      </c>
      <c r="I14" s="7">
        <v>541</v>
      </c>
      <c r="J14" s="7" t="s">
        <v>438</v>
      </c>
      <c r="K14" s="7">
        <v>3.76</v>
      </c>
      <c r="L14" s="7">
        <v>8.36</v>
      </c>
      <c r="M14" s="7">
        <v>29.5</v>
      </c>
      <c r="N14" s="7">
        <v>2.5299999999999998</v>
      </c>
      <c r="O14" s="7">
        <v>49.7</v>
      </c>
      <c r="P14" s="7">
        <v>3.3</v>
      </c>
    </row>
    <row r="15" spans="1:18">
      <c r="A15" s="35"/>
      <c r="G15" s="7">
        <v>15</v>
      </c>
      <c r="I15" s="7">
        <v>800</v>
      </c>
      <c r="J15" s="7" t="s">
        <v>438</v>
      </c>
      <c r="K15" s="7">
        <v>3.8</v>
      </c>
      <c r="L15" s="7">
        <v>8.3000000000000007</v>
      </c>
      <c r="M15" s="7">
        <v>29.2</v>
      </c>
      <c r="N15" s="7">
        <v>3.22</v>
      </c>
      <c r="O15" s="7">
        <v>49.4</v>
      </c>
      <c r="P15" s="7">
        <v>3.28</v>
      </c>
    </row>
    <row r="16" spans="1:18">
      <c r="A16" s="35">
        <v>46038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1.36</v>
      </c>
      <c r="L16" s="7">
        <v>8.15</v>
      </c>
      <c r="M16" s="7">
        <v>30.7</v>
      </c>
      <c r="N16" s="7">
        <v>5</v>
      </c>
      <c r="O16" s="7">
        <v>48.4</v>
      </c>
      <c r="P16" s="7">
        <v>3.1</v>
      </c>
    </row>
    <row r="17" spans="1:16">
      <c r="A17" s="35"/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1.34</v>
      </c>
      <c r="L17" s="7">
        <v>8.08</v>
      </c>
      <c r="M17" s="7">
        <v>30.5</v>
      </c>
      <c r="N17" s="7">
        <v>5.93</v>
      </c>
      <c r="O17" s="7">
        <v>47.9</v>
      </c>
      <c r="P17" s="7">
        <v>3.18</v>
      </c>
    </row>
    <row r="18" spans="1:16">
      <c r="A18" s="35"/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1.65</v>
      </c>
      <c r="L18" s="7">
        <v>8.25</v>
      </c>
      <c r="M18" s="7">
        <v>30.9</v>
      </c>
      <c r="N18" s="7">
        <v>3.66</v>
      </c>
      <c r="O18" s="7">
        <v>49.1</v>
      </c>
      <c r="P18" s="7">
        <v>3.24</v>
      </c>
    </row>
    <row r="19" spans="1:16">
      <c r="A19" s="35"/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2.2400000000000002</v>
      </c>
      <c r="L19" s="7">
        <v>8.18</v>
      </c>
      <c r="M19" s="7">
        <v>30.1</v>
      </c>
      <c r="N19" s="7">
        <v>4.5</v>
      </c>
      <c r="O19" s="7">
        <v>48.6</v>
      </c>
      <c r="P19" s="7">
        <v>3.22</v>
      </c>
    </row>
    <row r="20" spans="1:16">
      <c r="A20" s="35">
        <v>46039</v>
      </c>
      <c r="F20" s="7">
        <v>6.75</v>
      </c>
      <c r="G20" s="7">
        <v>18</v>
      </c>
      <c r="H20" s="7">
        <v>1</v>
      </c>
      <c r="I20" s="7">
        <v>575</v>
      </c>
      <c r="J20" s="7" t="s">
        <v>438</v>
      </c>
      <c r="K20" s="7">
        <v>3.73</v>
      </c>
      <c r="L20" s="7">
        <v>8.5</v>
      </c>
      <c r="M20" s="7">
        <v>30</v>
      </c>
      <c r="N20" s="7">
        <v>0.94</v>
      </c>
      <c r="O20" s="7">
        <v>50.6</v>
      </c>
      <c r="P20" s="7">
        <v>3.35</v>
      </c>
    </row>
    <row r="21" spans="1:16">
      <c r="A21" s="35"/>
      <c r="F21" s="7">
        <v>6</v>
      </c>
      <c r="G21" s="7">
        <v>18</v>
      </c>
      <c r="I21" s="7">
        <v>987</v>
      </c>
      <c r="J21" s="7" t="s">
        <v>438</v>
      </c>
      <c r="K21" s="7">
        <v>3.89</v>
      </c>
      <c r="L21" s="7">
        <v>8.1999999999999993</v>
      </c>
      <c r="M21" s="7">
        <v>20.7</v>
      </c>
      <c r="N21" s="7">
        <v>4.3600000000000003</v>
      </c>
      <c r="O21" s="7">
        <v>48.7</v>
      </c>
      <c r="P21" s="7">
        <v>3.25</v>
      </c>
    </row>
    <row r="22" spans="1:16">
      <c r="A22" s="35">
        <v>46042</v>
      </c>
      <c r="C22" s="42">
        <v>0.44444444444444442</v>
      </c>
      <c r="F22" s="7">
        <v>6</v>
      </c>
      <c r="G22" s="7">
        <v>18</v>
      </c>
      <c r="I22" s="7">
        <v>529</v>
      </c>
      <c r="J22" s="7" t="s">
        <v>438</v>
      </c>
      <c r="K22" s="7">
        <v>3.99</v>
      </c>
      <c r="L22" s="7">
        <v>7.98</v>
      </c>
      <c r="M22" s="7">
        <v>27.7</v>
      </c>
      <c r="N22" s="7">
        <v>6.81</v>
      </c>
      <c r="O22" s="7">
        <v>47.4</v>
      </c>
      <c r="P22" s="7">
        <v>3.17</v>
      </c>
    </row>
    <row r="23" spans="1:16">
      <c r="A23" s="35">
        <v>46043</v>
      </c>
      <c r="C23" s="42">
        <v>0.3972222222222222</v>
      </c>
      <c r="F23" s="7">
        <v>6</v>
      </c>
      <c r="G23" s="7">
        <v>18</v>
      </c>
      <c r="I23" s="7">
        <v>945</v>
      </c>
      <c r="J23" s="7" t="s">
        <v>438</v>
      </c>
      <c r="K23" s="7">
        <v>4.1100000000000003</v>
      </c>
      <c r="L23" s="7">
        <v>8.2799999999999994</v>
      </c>
      <c r="M23" s="7">
        <v>28.8</v>
      </c>
      <c r="N23" s="7">
        <v>3.52</v>
      </c>
      <c r="O23" s="7">
        <v>49.2</v>
      </c>
      <c r="P23" s="7">
        <v>3.28</v>
      </c>
    </row>
    <row r="24" spans="1:16">
      <c r="A24" s="35"/>
      <c r="B24" s="7" t="s">
        <v>441</v>
      </c>
      <c r="C24" s="42"/>
      <c r="F24" s="7">
        <v>6</v>
      </c>
      <c r="G24" s="7">
        <v>18</v>
      </c>
      <c r="I24" s="7">
        <v>775</v>
      </c>
      <c r="J24" s="7" t="s">
        <v>438</v>
      </c>
      <c r="K24" s="7">
        <v>3.97</v>
      </c>
      <c r="L24" s="7">
        <v>8.1</v>
      </c>
      <c r="M24" s="7">
        <v>28.2</v>
      </c>
      <c r="N24" s="7">
        <v>5.48</v>
      </c>
      <c r="O24" s="7">
        <v>48.1</v>
      </c>
      <c r="P24" s="7">
        <v>3.21</v>
      </c>
    </row>
    <row r="25" spans="1:16">
      <c r="A25" s="35">
        <v>46044</v>
      </c>
      <c r="C25" s="42">
        <v>0.36041666666666666</v>
      </c>
      <c r="D25" s="7">
        <v>2710</v>
      </c>
      <c r="F25" s="7">
        <v>6.63</v>
      </c>
      <c r="G25" s="7">
        <v>18</v>
      </c>
      <c r="I25" s="7">
        <v>541</v>
      </c>
      <c r="J25" s="7" t="s">
        <v>438</v>
      </c>
      <c r="K25" s="7">
        <v>3.54</v>
      </c>
      <c r="L25" s="7">
        <v>7.9</v>
      </c>
      <c r="M25" s="7">
        <v>27.8</v>
      </c>
      <c r="N25" s="7">
        <v>7.74</v>
      </c>
      <c r="O25" s="7">
        <v>46.8</v>
      </c>
      <c r="P25" s="7">
        <v>3.13</v>
      </c>
    </row>
    <row r="26" spans="1:16">
      <c r="A26" s="35"/>
      <c r="F26" s="7">
        <v>6.63</v>
      </c>
      <c r="G26" s="7">
        <v>18</v>
      </c>
      <c r="I26" s="7">
        <v>633</v>
      </c>
      <c r="J26" s="7" t="s">
        <v>438</v>
      </c>
      <c r="K26" s="7">
        <v>3.68</v>
      </c>
      <c r="L26" s="7">
        <v>8.17</v>
      </c>
      <c r="M26" s="7">
        <v>28.8</v>
      </c>
      <c r="N26" s="7">
        <v>4.66</v>
      </c>
      <c r="O26" s="7">
        <v>48.6</v>
      </c>
      <c r="P26" s="7">
        <v>3.23</v>
      </c>
    </row>
    <row r="27" spans="1:16">
      <c r="A27" s="35"/>
      <c r="K27" s="7">
        <v>0.45</v>
      </c>
      <c r="L27" s="7">
        <v>8.26</v>
      </c>
      <c r="M27" s="7">
        <v>32</v>
      </c>
      <c r="N27" s="7">
        <v>3.71</v>
      </c>
      <c r="O27" s="7">
        <v>49.1</v>
      </c>
      <c r="P27" s="7">
        <v>3.23</v>
      </c>
    </row>
    <row r="28" spans="1:16">
      <c r="A28" s="35">
        <v>46045</v>
      </c>
      <c r="F28" s="7">
        <v>6.8</v>
      </c>
      <c r="G28" s="7">
        <v>15</v>
      </c>
      <c r="I28" s="7">
        <v>775</v>
      </c>
      <c r="J28" s="7" t="s">
        <v>438</v>
      </c>
      <c r="K28" s="7">
        <v>3.56</v>
      </c>
      <c r="L28" s="7">
        <v>8.09</v>
      </c>
      <c r="M28" s="7">
        <v>28.5</v>
      </c>
      <c r="N28" s="7">
        <v>5.56</v>
      </c>
      <c r="O28" s="7">
        <v>48.1</v>
      </c>
      <c r="P28" s="7">
        <v>3.2</v>
      </c>
    </row>
    <row r="29" spans="1:16">
      <c r="A29" s="35"/>
      <c r="K29" s="7">
        <v>2.91</v>
      </c>
      <c r="L29" s="7">
        <v>5.43</v>
      </c>
      <c r="M29" s="7">
        <v>18.600000000000001</v>
      </c>
      <c r="N29" s="7">
        <v>37.299999999999997</v>
      </c>
      <c r="O29" s="7">
        <v>30.4</v>
      </c>
      <c r="P29" s="7">
        <v>2.23</v>
      </c>
    </row>
    <row r="30" spans="1:16">
      <c r="A30" s="35"/>
      <c r="K30" s="7">
        <v>3.08</v>
      </c>
      <c r="L30" s="7">
        <v>8.06</v>
      </c>
      <c r="M30" s="7">
        <v>28.8</v>
      </c>
      <c r="N30" s="7">
        <v>5.91</v>
      </c>
      <c r="O30" s="7">
        <v>47.9</v>
      </c>
      <c r="P30" s="7">
        <v>3.19</v>
      </c>
    </row>
    <row r="31" spans="1:16">
      <c r="A31" s="35">
        <v>46046</v>
      </c>
    </row>
    <row r="32" spans="1:16">
      <c r="A32" s="35"/>
    </row>
    <row r="33" spans="1:16">
      <c r="A33" s="35"/>
    </row>
    <row r="34" spans="1:16">
      <c r="A34" s="35">
        <v>46049</v>
      </c>
      <c r="C34" s="42">
        <v>0.34027777777777773</v>
      </c>
      <c r="D34" s="7">
        <v>2680</v>
      </c>
      <c r="F34" s="7">
        <v>6.69</v>
      </c>
      <c r="G34" s="7">
        <v>18</v>
      </c>
      <c r="I34" s="7">
        <v>891</v>
      </c>
      <c r="J34" s="7" t="s">
        <v>438</v>
      </c>
      <c r="K34" s="7">
        <v>3.8</v>
      </c>
      <c r="L34" s="7">
        <v>8.1199999999999992</v>
      </c>
      <c r="M34" s="7">
        <v>28.5</v>
      </c>
      <c r="N34" s="7">
        <v>5.24</v>
      </c>
      <c r="O34" s="7">
        <v>48.2</v>
      </c>
      <c r="P34" s="7">
        <v>3.22</v>
      </c>
    </row>
    <row r="35" spans="1:16">
      <c r="A35" s="35"/>
      <c r="F35" s="7">
        <v>6.6</v>
      </c>
      <c r="G35" s="7">
        <v>17</v>
      </c>
      <c r="I35" s="7">
        <v>474</v>
      </c>
      <c r="J35" s="7" t="s">
        <v>438</v>
      </c>
      <c r="K35" s="7">
        <v>3.89</v>
      </c>
      <c r="L35" s="7">
        <v>8.1999999999999993</v>
      </c>
      <c r="M35" s="7">
        <v>20.7</v>
      </c>
      <c r="N35" s="7">
        <v>4.3600000000000003</v>
      </c>
      <c r="O35" s="7">
        <v>48.7</v>
      </c>
      <c r="P35" s="7">
        <v>3.25</v>
      </c>
    </row>
    <row r="36" spans="1:16">
      <c r="A36" s="35">
        <v>46050</v>
      </c>
      <c r="C36" s="42">
        <v>0.45555555555555555</v>
      </c>
      <c r="D36" s="7">
        <v>2590</v>
      </c>
      <c r="F36" s="7">
        <v>6.78</v>
      </c>
      <c r="G36" s="7">
        <v>16</v>
      </c>
      <c r="I36" s="7">
        <v>417</v>
      </c>
      <c r="J36" s="7" t="s">
        <v>438</v>
      </c>
      <c r="K36" s="7">
        <v>3.54</v>
      </c>
      <c r="L36" s="7">
        <v>7.82</v>
      </c>
      <c r="M36" s="7">
        <v>27.5</v>
      </c>
      <c r="N36" s="7">
        <v>8.65</v>
      </c>
      <c r="O36" s="7">
        <v>46.3</v>
      </c>
      <c r="P36" s="7">
        <v>3.1</v>
      </c>
    </row>
    <row r="37" spans="1:16">
      <c r="A37" s="35"/>
      <c r="F37" s="7">
        <v>6.76</v>
      </c>
      <c r="G37" s="7">
        <v>16</v>
      </c>
      <c r="I37" s="7">
        <v>417</v>
      </c>
      <c r="J37" s="7" t="s">
        <v>438</v>
      </c>
      <c r="K37" s="7">
        <v>3.95</v>
      </c>
      <c r="L37" s="7">
        <v>8.09</v>
      </c>
      <c r="M37" s="7">
        <v>28.2</v>
      </c>
      <c r="N37" s="7">
        <v>5.59</v>
      </c>
      <c r="O37" s="7">
        <v>48</v>
      </c>
      <c r="P37" s="7">
        <v>3.21</v>
      </c>
    </row>
    <row r="38" spans="1:16">
      <c r="A38" s="35"/>
      <c r="K38" s="7">
        <v>3.58</v>
      </c>
      <c r="L38" s="7">
        <v>8.19</v>
      </c>
      <c r="M38" s="7">
        <v>28.9</v>
      </c>
      <c r="N38" s="7">
        <v>4.42</v>
      </c>
      <c r="O38" s="7">
        <v>48.7</v>
      </c>
      <c r="P38" s="7">
        <v>3.24</v>
      </c>
    </row>
    <row r="39" spans="1:16">
      <c r="A39" s="35">
        <v>46051</v>
      </c>
      <c r="F39" s="7">
        <v>6.8</v>
      </c>
      <c r="G39" s="7">
        <v>16</v>
      </c>
      <c r="J39" s="7" t="s">
        <v>438</v>
      </c>
      <c r="K39" s="7">
        <v>8.4600000000000009</v>
      </c>
      <c r="L39" s="7">
        <v>7.51</v>
      </c>
      <c r="M39" s="7">
        <v>21.9</v>
      </c>
      <c r="N39" s="7">
        <v>11.7</v>
      </c>
      <c r="O39" s="7">
        <v>44.7</v>
      </c>
      <c r="P39" s="7">
        <v>3.04</v>
      </c>
    </row>
    <row r="40" spans="1:16">
      <c r="A40" s="35"/>
      <c r="F40" s="7">
        <v>6.8</v>
      </c>
      <c r="G40" s="7">
        <v>16</v>
      </c>
      <c r="J40" s="7" t="s">
        <v>438</v>
      </c>
      <c r="K40" s="7">
        <v>8.48</v>
      </c>
      <c r="L40" s="7">
        <v>7.83</v>
      </c>
      <c r="M40" s="7">
        <v>23.2</v>
      </c>
      <c r="N40" s="7">
        <v>9.36</v>
      </c>
      <c r="O40" s="7">
        <v>46</v>
      </c>
      <c r="P40" s="7">
        <v>3.16</v>
      </c>
    </row>
    <row r="41" spans="1:16">
      <c r="A41" s="35"/>
      <c r="F41" s="7">
        <v>6.7</v>
      </c>
      <c r="G41" s="7">
        <v>17</v>
      </c>
      <c r="I41" s="7">
        <v>737</v>
      </c>
      <c r="J41" s="7" t="s">
        <v>438</v>
      </c>
      <c r="K41" s="7">
        <v>3.75</v>
      </c>
      <c r="L41" s="7">
        <v>7.93</v>
      </c>
      <c r="M41" s="7">
        <v>27.7</v>
      </c>
      <c r="N41" s="7">
        <v>7.38</v>
      </c>
      <c r="O41" s="7">
        <v>47</v>
      </c>
      <c r="P41" s="7">
        <v>3.15</v>
      </c>
    </row>
    <row r="42" spans="1:16">
      <c r="A42" s="35"/>
      <c r="K42" s="7">
        <v>2.89</v>
      </c>
      <c r="L42" s="7">
        <v>8.0299999999999994</v>
      </c>
      <c r="M42" s="7">
        <v>28.9</v>
      </c>
      <c r="N42" s="7">
        <v>6.28</v>
      </c>
      <c r="O42" s="7">
        <v>47.7</v>
      </c>
      <c r="P42" s="7">
        <v>3.17</v>
      </c>
    </row>
    <row r="43" spans="1:16">
      <c r="A43" s="35"/>
      <c r="K43" s="7">
        <v>3.08</v>
      </c>
      <c r="L43" s="7">
        <v>8.02</v>
      </c>
      <c r="M43" s="7">
        <v>28.7</v>
      </c>
      <c r="N43" s="7">
        <v>6.39</v>
      </c>
      <c r="O43" s="7">
        <v>47.6</v>
      </c>
      <c r="P43" s="7">
        <v>3.17</v>
      </c>
    </row>
    <row r="44" spans="1:16">
      <c r="A44" s="35"/>
      <c r="K44" s="7">
        <v>3</v>
      </c>
      <c r="L44" s="7">
        <v>7.77</v>
      </c>
      <c r="M44" s="7">
        <v>27.8</v>
      </c>
      <c r="N44" s="7">
        <v>9.36</v>
      </c>
      <c r="O44" s="7">
        <v>46</v>
      </c>
      <c r="P44" s="7">
        <v>3.08</v>
      </c>
    </row>
    <row r="45" spans="1:16">
      <c r="A45" s="35">
        <v>46052</v>
      </c>
      <c r="C45" s="42">
        <v>0.32847222222222222</v>
      </c>
      <c r="D45" s="7">
        <v>2580</v>
      </c>
      <c r="F45" s="7">
        <v>6.8</v>
      </c>
      <c r="G45" s="7">
        <v>18</v>
      </c>
      <c r="J45" s="7" t="s">
        <v>438</v>
      </c>
      <c r="K45" s="7">
        <v>3.52</v>
      </c>
      <c r="L45" s="7">
        <v>7.88</v>
      </c>
      <c r="M45" s="7">
        <v>27.7</v>
      </c>
      <c r="N45" s="7">
        <v>7.97</v>
      </c>
      <c r="O45" s="7">
        <v>46.7</v>
      </c>
      <c r="P45" s="7">
        <v>3.13</v>
      </c>
    </row>
    <row r="46" spans="1:16">
      <c r="A46" s="35"/>
      <c r="F46" s="7">
        <v>6.8</v>
      </c>
      <c r="G46" s="7">
        <v>18</v>
      </c>
      <c r="J46" s="7" t="s">
        <v>438</v>
      </c>
      <c r="K46" s="7">
        <v>3.6</v>
      </c>
      <c r="L46" s="7">
        <v>8.1300000000000008</v>
      </c>
      <c r="M46" s="7">
        <v>28</v>
      </c>
      <c r="N46" s="7">
        <v>5.1100000000000003</v>
      </c>
      <c r="O46" s="7">
        <v>48.3</v>
      </c>
      <c r="P46" s="7">
        <v>3.22</v>
      </c>
    </row>
    <row r="47" spans="1:16">
      <c r="A47" s="35"/>
      <c r="F47" s="7">
        <v>6.9</v>
      </c>
      <c r="G47" s="7">
        <v>16</v>
      </c>
      <c r="I47" s="7">
        <v>833</v>
      </c>
      <c r="J47" s="7" t="s">
        <v>438</v>
      </c>
      <c r="K47" s="7">
        <v>3.67</v>
      </c>
      <c r="L47" s="7">
        <v>8.14</v>
      </c>
      <c r="M47" s="7">
        <v>28.7</v>
      </c>
      <c r="N47" s="7">
        <v>5</v>
      </c>
      <c r="O47" s="7">
        <v>48.4</v>
      </c>
      <c r="P47" s="7">
        <v>3.22</v>
      </c>
    </row>
    <row r="48" spans="1:16">
      <c r="A48" s="35">
        <v>46053</v>
      </c>
      <c r="C48" s="42">
        <v>0.32013888888888892</v>
      </c>
      <c r="D48" s="7">
        <v>2680</v>
      </c>
      <c r="F48" s="7">
        <v>6.9</v>
      </c>
      <c r="G48" s="7">
        <v>18</v>
      </c>
      <c r="I48" s="7">
        <v>841</v>
      </c>
      <c r="J48" s="7" t="s">
        <v>438</v>
      </c>
      <c r="K48" s="7">
        <v>3.47</v>
      </c>
      <c r="L48" s="7">
        <v>8.0399999999999991</v>
      </c>
      <c r="M48" s="7">
        <v>28.4</v>
      </c>
      <c r="N48" s="7">
        <v>6.14</v>
      </c>
      <c r="O48" s="7">
        <v>47.7</v>
      </c>
      <c r="P48" s="7">
        <v>3.18</v>
      </c>
    </row>
    <row r="49" spans="1:16">
      <c r="A49" s="35"/>
      <c r="K49" s="7">
        <v>3.38</v>
      </c>
      <c r="L49" s="7">
        <v>8.0299999999999994</v>
      </c>
      <c r="M49" s="7">
        <v>28.5</v>
      </c>
      <c r="N49" s="7">
        <v>6.25</v>
      </c>
      <c r="O49" s="7">
        <v>47.7</v>
      </c>
      <c r="P49" s="7">
        <v>3.8</v>
      </c>
    </row>
    <row r="50" spans="1:16">
      <c r="A50" s="35"/>
      <c r="K50" s="7">
        <v>2.8</v>
      </c>
      <c r="L50" s="7">
        <v>7.98</v>
      </c>
      <c r="M50" s="7">
        <v>28.8</v>
      </c>
      <c r="N50" s="7">
        <v>6.89</v>
      </c>
      <c r="O50" s="7">
        <v>47.3</v>
      </c>
      <c r="P50" s="7">
        <v>3.15</v>
      </c>
    </row>
    <row r="51" spans="1:16">
      <c r="A51" s="35"/>
      <c r="K51" s="7">
        <v>3.1</v>
      </c>
      <c r="L51" s="7">
        <v>8.17</v>
      </c>
      <c r="M51" s="7">
        <v>29.3</v>
      </c>
      <c r="N51" s="7">
        <v>4.62</v>
      </c>
      <c r="O51" s="7">
        <v>48.6</v>
      </c>
      <c r="P51" s="7">
        <v>3.23</v>
      </c>
    </row>
    <row r="52" spans="1:16">
      <c r="A52" s="35">
        <v>46056</v>
      </c>
      <c r="E52" s="7" t="s">
        <v>199</v>
      </c>
      <c r="G52" s="7">
        <v>18</v>
      </c>
      <c r="J52" s="7" t="s">
        <v>438</v>
      </c>
      <c r="K52" s="7">
        <v>4.08</v>
      </c>
      <c r="L52" s="7">
        <v>7.3</v>
      </c>
      <c r="M52" s="7">
        <v>27</v>
      </c>
      <c r="N52" s="7">
        <v>8.4700000000000006</v>
      </c>
      <c r="O52" s="7">
        <v>46.4</v>
      </c>
      <c r="P52" s="7">
        <v>3.11</v>
      </c>
    </row>
    <row r="53" spans="1:16">
      <c r="A53" s="35"/>
      <c r="J53" s="7" t="s">
        <v>438</v>
      </c>
      <c r="K53" s="7">
        <v>3.61</v>
      </c>
      <c r="L53" s="7">
        <v>8.09</v>
      </c>
      <c r="M53" s="7">
        <v>28.5</v>
      </c>
      <c r="N53" s="7">
        <v>5.57</v>
      </c>
      <c r="O53" s="7">
        <v>48.1</v>
      </c>
      <c r="P53" s="7">
        <v>3.2</v>
      </c>
    </row>
    <row r="54" spans="1:16">
      <c r="A54" s="35"/>
      <c r="K54" s="7">
        <v>3.64</v>
      </c>
      <c r="L54" s="7">
        <v>8</v>
      </c>
      <c r="M54" s="7">
        <v>28.1</v>
      </c>
      <c r="N54" s="7">
        <v>6.59</v>
      </c>
      <c r="O54" s="7">
        <v>47.5</v>
      </c>
      <c r="P54" s="7">
        <v>3.17</v>
      </c>
    </row>
    <row r="55" spans="1:16">
      <c r="A55" s="35"/>
      <c r="K55" s="7">
        <v>2.92</v>
      </c>
      <c r="L55" s="7">
        <v>7.86</v>
      </c>
      <c r="N55" s="7">
        <v>8.31</v>
      </c>
      <c r="O55" s="7">
        <v>4</v>
      </c>
      <c r="P55" s="7">
        <v>3.18</v>
      </c>
    </row>
    <row r="56" spans="1:16">
      <c r="A56" s="35"/>
      <c r="K56" s="7">
        <v>3.04</v>
      </c>
      <c r="L56" s="7">
        <v>7.8</v>
      </c>
      <c r="M56" s="7">
        <v>27.8</v>
      </c>
      <c r="N56" s="7">
        <v>8.99</v>
      </c>
      <c r="O56" s="7">
        <v>46.1</v>
      </c>
      <c r="P56" s="7">
        <v>3.09</v>
      </c>
    </row>
    <row r="57" spans="1:16">
      <c r="A57" s="35">
        <v>46057</v>
      </c>
      <c r="D57" s="7">
        <v>2590</v>
      </c>
      <c r="E57" s="7" t="s">
        <v>199</v>
      </c>
      <c r="G57" s="7">
        <v>17</v>
      </c>
      <c r="I57" s="7">
        <v>979</v>
      </c>
      <c r="J57" s="7" t="s">
        <v>438</v>
      </c>
      <c r="K57" s="7">
        <v>3.62</v>
      </c>
      <c r="L57" s="7">
        <v>8</v>
      </c>
      <c r="M57" s="7">
        <v>28.1</v>
      </c>
      <c r="N57" s="7">
        <v>6.59</v>
      </c>
      <c r="O57" s="7">
        <v>47.3</v>
      </c>
      <c r="P57" s="7">
        <v>3.17</v>
      </c>
    </row>
    <row r="58" spans="1:16">
      <c r="A58" s="35"/>
      <c r="G58" s="7">
        <v>18</v>
      </c>
      <c r="I58" s="7">
        <v>745</v>
      </c>
      <c r="J58" s="7" t="s">
        <v>438</v>
      </c>
      <c r="K58" s="7">
        <v>3.19</v>
      </c>
      <c r="L58" s="7">
        <v>8.06</v>
      </c>
      <c r="M58" s="7">
        <v>28.8</v>
      </c>
      <c r="N58" s="7">
        <v>5.91</v>
      </c>
      <c r="O58" s="7">
        <v>47.9</v>
      </c>
      <c r="P58" s="7">
        <v>3.19</v>
      </c>
    </row>
    <row r="59" spans="1:16">
      <c r="A59" s="35"/>
      <c r="K59" s="7">
        <v>3.64</v>
      </c>
      <c r="L59" s="7">
        <v>8.2200000000000006</v>
      </c>
      <c r="M59" s="7">
        <v>29</v>
      </c>
      <c r="N59" s="7">
        <v>4.09</v>
      </c>
      <c r="O59" s="7">
        <v>48.9</v>
      </c>
      <c r="P59" s="7">
        <v>3.25</v>
      </c>
    </row>
    <row r="60" spans="1:16">
      <c r="A60" s="35"/>
      <c r="K60" s="7">
        <v>3.51</v>
      </c>
      <c r="L60" s="7">
        <v>7.87</v>
      </c>
      <c r="M60" s="7">
        <v>27.7</v>
      </c>
      <c r="N60" s="7">
        <v>8.08</v>
      </c>
      <c r="O60" s="7">
        <v>46.7</v>
      </c>
      <c r="P60" s="7">
        <v>3.12</v>
      </c>
    </row>
    <row r="61" spans="1:16">
      <c r="A61" s="35">
        <v>46058</v>
      </c>
      <c r="C61" s="42">
        <v>0.36805555555555558</v>
      </c>
      <c r="D61" s="7">
        <v>2700</v>
      </c>
      <c r="G61" s="7">
        <v>18</v>
      </c>
      <c r="I61" s="7">
        <v>954</v>
      </c>
      <c r="J61" s="37" t="s">
        <v>438</v>
      </c>
      <c r="K61" s="7">
        <v>3.63</v>
      </c>
      <c r="L61" s="7">
        <v>7.99</v>
      </c>
      <c r="M61" s="7">
        <v>28.1</v>
      </c>
      <c r="N61" s="7">
        <v>6.7</v>
      </c>
      <c r="O61" s="7">
        <v>47.4</v>
      </c>
      <c r="P61" s="7">
        <v>3.17</v>
      </c>
    </row>
    <row r="62" spans="1:16">
      <c r="A62" s="35"/>
      <c r="C62" s="42"/>
      <c r="G62" s="7">
        <v>18</v>
      </c>
      <c r="I62" s="7">
        <v>900</v>
      </c>
      <c r="J62" s="37" t="s">
        <v>438</v>
      </c>
      <c r="K62" s="7">
        <v>3.64</v>
      </c>
      <c r="L62" s="7">
        <v>8.1</v>
      </c>
      <c r="M62" s="7">
        <v>28.5</v>
      </c>
      <c r="N62" s="7">
        <v>5.45</v>
      </c>
      <c r="O62" s="7">
        <v>48.1</v>
      </c>
      <c r="P62" s="7">
        <v>3.21</v>
      </c>
    </row>
    <row r="63" spans="1:16">
      <c r="A63" s="35"/>
      <c r="C63" s="42"/>
      <c r="J63" s="37"/>
      <c r="K63" s="7">
        <v>3.64</v>
      </c>
      <c r="L63" s="7">
        <v>8.09</v>
      </c>
      <c r="M63" s="7">
        <v>28.5</v>
      </c>
      <c r="N63" s="7">
        <v>5.57</v>
      </c>
      <c r="O63" s="7">
        <v>48.1</v>
      </c>
      <c r="P63" s="7">
        <v>3.2</v>
      </c>
    </row>
    <row r="64" spans="1:16">
      <c r="A64" s="35"/>
      <c r="C64" s="42"/>
      <c r="J64" s="37"/>
      <c r="K64" s="7">
        <v>3.61</v>
      </c>
      <c r="L64" s="7">
        <v>8.09</v>
      </c>
      <c r="M64" s="7">
        <v>28.5</v>
      </c>
      <c r="N64" s="7">
        <v>5.57</v>
      </c>
      <c r="O64" s="7">
        <v>48.1</v>
      </c>
      <c r="P64" s="7">
        <v>3.2</v>
      </c>
    </row>
    <row r="65" spans="1:18">
      <c r="A65" s="35">
        <v>46059</v>
      </c>
      <c r="C65" s="42">
        <v>0.32222222222222224</v>
      </c>
      <c r="D65" s="7">
        <v>2570</v>
      </c>
      <c r="G65" s="7">
        <v>18</v>
      </c>
      <c r="I65" s="7">
        <v>862</v>
      </c>
      <c r="J65" s="37" t="s">
        <v>438</v>
      </c>
      <c r="K65" s="7">
        <v>3.68</v>
      </c>
      <c r="L65" s="7">
        <v>7.83</v>
      </c>
      <c r="M65" s="7">
        <v>27.4</v>
      </c>
      <c r="N65" s="7">
        <v>8.52</v>
      </c>
      <c r="O65" s="7">
        <v>46.4</v>
      </c>
      <c r="P65" s="7">
        <v>3.11</v>
      </c>
    </row>
    <row r="66" spans="1:18">
      <c r="A66" s="35"/>
      <c r="C66" s="42"/>
      <c r="G66" s="7">
        <v>16</v>
      </c>
      <c r="I66" s="7">
        <v>783</v>
      </c>
      <c r="J66" s="37"/>
      <c r="K66" s="7">
        <v>3.56</v>
      </c>
      <c r="L66" s="7">
        <v>8.06</v>
      </c>
      <c r="M66" s="7">
        <v>28.4</v>
      </c>
      <c r="N66" s="7">
        <v>5.91</v>
      </c>
      <c r="O66" s="7">
        <v>47.9</v>
      </c>
      <c r="P66" s="7">
        <v>3.19</v>
      </c>
    </row>
    <row r="67" spans="1:18">
      <c r="A67" s="35"/>
      <c r="C67" s="42"/>
      <c r="J67" s="37"/>
      <c r="K67" s="7">
        <v>3.49</v>
      </c>
      <c r="L67" s="7">
        <v>7.99</v>
      </c>
      <c r="M67" s="7">
        <v>28.2</v>
      </c>
      <c r="N67" s="7">
        <v>6.71</v>
      </c>
      <c r="O67" s="7">
        <v>47.4</v>
      </c>
      <c r="P67" s="7">
        <v>3.17</v>
      </c>
    </row>
    <row r="68" spans="1:18">
      <c r="A68" s="35">
        <v>46060</v>
      </c>
      <c r="C68" s="42">
        <v>0.32500000000000001</v>
      </c>
      <c r="D68" s="7">
        <v>2620</v>
      </c>
      <c r="G68" s="7">
        <v>16</v>
      </c>
      <c r="J68" s="37"/>
      <c r="K68" s="7">
        <v>3.34</v>
      </c>
      <c r="L68" s="7">
        <v>7.82</v>
      </c>
      <c r="M68" s="7">
        <v>27.6</v>
      </c>
      <c r="N68" s="7">
        <v>8.68</v>
      </c>
      <c r="O68" s="7">
        <v>46.3</v>
      </c>
      <c r="P68" s="7">
        <v>3.1</v>
      </c>
    </row>
    <row r="69" spans="1:18">
      <c r="A69" s="35"/>
      <c r="G69" s="7">
        <v>16</v>
      </c>
      <c r="J69" s="37" t="s">
        <v>438</v>
      </c>
      <c r="K69" s="7">
        <v>3.49</v>
      </c>
      <c r="L69" s="7">
        <v>7.95</v>
      </c>
      <c r="M69" s="7">
        <v>28</v>
      </c>
      <c r="N69" s="7">
        <v>7.17</v>
      </c>
      <c r="O69" s="7">
        <v>47.2</v>
      </c>
      <c r="P69" s="7">
        <v>3.15</v>
      </c>
    </row>
    <row r="70" spans="1:18">
      <c r="A70" s="35"/>
      <c r="J70" s="37"/>
      <c r="K70" s="7">
        <v>3.29</v>
      </c>
      <c r="L70" s="7">
        <v>7.89</v>
      </c>
      <c r="M70" s="7">
        <v>28</v>
      </c>
      <c r="N70" s="7">
        <v>7.89</v>
      </c>
      <c r="O70" s="7">
        <v>46.8</v>
      </c>
      <c r="P70" s="7">
        <v>3.13</v>
      </c>
    </row>
    <row r="71" spans="1:18">
      <c r="A71" s="35"/>
      <c r="J71" s="37"/>
      <c r="K71" s="7">
        <v>2.69</v>
      </c>
      <c r="L71" s="7">
        <v>7.73</v>
      </c>
      <c r="M71" s="7">
        <v>27.9</v>
      </c>
      <c r="N71" s="7">
        <v>9.94</v>
      </c>
      <c r="O71" s="7">
        <v>45.6</v>
      </c>
      <c r="P71" s="7">
        <v>3.06</v>
      </c>
    </row>
    <row r="72" spans="1:18">
      <c r="A72" s="35">
        <v>46063</v>
      </c>
      <c r="C72" s="42">
        <v>0.31597222222222221</v>
      </c>
      <c r="D72" s="7">
        <v>2580</v>
      </c>
      <c r="E72" s="196" t="s">
        <v>199</v>
      </c>
      <c r="G72" s="7">
        <v>16</v>
      </c>
      <c r="I72" s="7">
        <v>1285</v>
      </c>
      <c r="J72" s="196" t="s">
        <v>438</v>
      </c>
      <c r="K72" s="7">
        <v>3.69</v>
      </c>
      <c r="L72" s="7">
        <v>8</v>
      </c>
      <c r="M72" s="7">
        <v>28.1</v>
      </c>
      <c r="N72" s="7">
        <v>6.59</v>
      </c>
      <c r="O72" s="7">
        <v>47.5</v>
      </c>
      <c r="P72" s="7">
        <v>3.17</v>
      </c>
    </row>
    <row r="73" spans="1:18">
      <c r="E73" s="37"/>
      <c r="J73" s="37"/>
      <c r="K73" s="7">
        <v>3.74</v>
      </c>
      <c r="L73" s="7">
        <v>8.1999999999999993</v>
      </c>
      <c r="M73" s="7">
        <v>28.8</v>
      </c>
      <c r="N73" s="7">
        <v>4.33</v>
      </c>
      <c r="O73" s="7">
        <v>48.7</v>
      </c>
      <c r="P73" s="7">
        <v>3.24</v>
      </c>
    </row>
    <row r="74" spans="1:18">
      <c r="A74" s="35">
        <v>46064</v>
      </c>
      <c r="C74" s="42">
        <v>0.34791666666666665</v>
      </c>
      <c r="D74" s="7">
        <v>2800</v>
      </c>
      <c r="E74" s="196" t="s">
        <v>199</v>
      </c>
      <c r="G74" s="7">
        <v>17</v>
      </c>
      <c r="I74" s="7">
        <v>858</v>
      </c>
      <c r="J74" s="196" t="s">
        <v>438</v>
      </c>
      <c r="K74" s="7">
        <v>3.37</v>
      </c>
      <c r="L74" s="7">
        <v>7.6</v>
      </c>
      <c r="M74" s="7">
        <v>26.7</v>
      </c>
      <c r="N74" s="7">
        <v>11.2</v>
      </c>
      <c r="O74" s="7">
        <v>44.9</v>
      </c>
      <c r="P74" s="7">
        <v>3.02</v>
      </c>
    </row>
    <row r="75" spans="1:18">
      <c r="A75" s="35"/>
      <c r="C75" s="42"/>
      <c r="E75" s="37"/>
      <c r="J75" s="196"/>
      <c r="K75" s="7">
        <v>3.38</v>
      </c>
      <c r="L75" s="7">
        <v>7.77</v>
      </c>
      <c r="M75" s="7">
        <v>27.4</v>
      </c>
      <c r="N75" s="7">
        <v>9.26</v>
      </c>
      <c r="O75" s="7">
        <v>46</v>
      </c>
      <c r="P75" s="7">
        <v>3.08</v>
      </c>
    </row>
    <row r="76" spans="1:18">
      <c r="A76" s="35"/>
      <c r="C76" s="42"/>
      <c r="E76" s="37"/>
      <c r="J76" s="196"/>
      <c r="K76" s="7">
        <v>2.37</v>
      </c>
      <c r="L76" s="7">
        <v>7.6</v>
      </c>
      <c r="M76" s="7">
        <v>27.6</v>
      </c>
      <c r="N76" s="7">
        <v>11.7</v>
      </c>
      <c r="O76" s="7">
        <v>44.7</v>
      </c>
      <c r="P76" s="7">
        <v>3.01</v>
      </c>
      <c r="R76" s="195" t="s">
        <v>457</v>
      </c>
    </row>
    <row r="77" spans="1:18">
      <c r="A77" s="35"/>
      <c r="C77" s="42"/>
      <c r="E77" s="37"/>
      <c r="J77" s="196"/>
      <c r="K77" s="7">
        <v>2.4700000000000002</v>
      </c>
      <c r="L77" s="7">
        <v>7.48</v>
      </c>
      <c r="M77" s="7">
        <v>27.1</v>
      </c>
      <c r="N77" s="7">
        <v>13.1</v>
      </c>
      <c r="O77" s="7">
        <v>43.9</v>
      </c>
      <c r="P77" s="7">
        <v>2.97</v>
      </c>
      <c r="R77" s="195" t="s">
        <v>458</v>
      </c>
    </row>
    <row r="78" spans="1:18">
      <c r="A78" s="35">
        <v>46065</v>
      </c>
      <c r="C78" s="42">
        <v>0.3125</v>
      </c>
      <c r="D78" s="7">
        <v>2400</v>
      </c>
      <c r="E78" s="196" t="s">
        <v>199</v>
      </c>
      <c r="G78" s="7">
        <v>17</v>
      </c>
      <c r="J78" s="196" t="s">
        <v>438</v>
      </c>
      <c r="K78" s="7">
        <v>3.66</v>
      </c>
      <c r="L78" s="7">
        <v>8.0500000000000007</v>
      </c>
      <c r="M78" s="7">
        <v>28.3</v>
      </c>
      <c r="N78" s="7">
        <v>6.02</v>
      </c>
      <c r="O78" s="7">
        <v>47.8</v>
      </c>
      <c r="P78" s="7">
        <v>3.19</v>
      </c>
    </row>
    <row r="79" spans="1:18">
      <c r="A79" s="35"/>
      <c r="C79" s="42"/>
      <c r="G79" s="7">
        <v>17</v>
      </c>
      <c r="J79" s="37"/>
      <c r="K79" s="7">
        <v>3.61</v>
      </c>
      <c r="L79" s="7">
        <v>7.96</v>
      </c>
      <c r="M79" s="7">
        <v>28</v>
      </c>
      <c r="N79" s="7">
        <v>7.05</v>
      </c>
      <c r="O79" s="7">
        <v>47.2</v>
      </c>
      <c r="P79" s="7">
        <v>3.16</v>
      </c>
    </row>
    <row r="80" spans="1:18">
      <c r="A80" s="35"/>
      <c r="C80" s="42"/>
      <c r="K80" s="7">
        <v>0.4</v>
      </c>
      <c r="L80" s="7">
        <v>8.06</v>
      </c>
      <c r="M80" s="7">
        <v>31.2</v>
      </c>
      <c r="N80" s="7">
        <v>6.49</v>
      </c>
      <c r="O80" s="7">
        <v>47.5</v>
      </c>
      <c r="P80" s="7">
        <v>3.16</v>
      </c>
      <c r="R80" s="195" t="s">
        <v>457</v>
      </c>
    </row>
    <row r="81" spans="1:19">
      <c r="A81" s="35"/>
      <c r="C81" s="42"/>
      <c r="K81" s="7">
        <v>2.65</v>
      </c>
      <c r="L81" s="7">
        <v>7.73</v>
      </c>
      <c r="M81" s="7">
        <v>27.9</v>
      </c>
      <c r="N81" s="7">
        <v>9.9499999999999993</v>
      </c>
      <c r="O81" s="7">
        <v>45.6</v>
      </c>
      <c r="P81" s="7">
        <v>3.06</v>
      </c>
      <c r="R81" s="195" t="s">
        <v>458</v>
      </c>
    </row>
    <row r="82" spans="1:19">
      <c r="A82" s="239">
        <v>46066</v>
      </c>
      <c r="B82" s="240"/>
      <c r="C82" s="240"/>
      <c r="D82" s="240"/>
      <c r="E82" s="240"/>
      <c r="F82" s="240"/>
      <c r="G82" s="240"/>
      <c r="H82" s="240"/>
      <c r="I82" s="240"/>
      <c r="J82" s="240"/>
      <c r="K82" s="240"/>
      <c r="L82" s="240"/>
      <c r="M82" s="240"/>
      <c r="N82" s="240"/>
      <c r="O82" s="240"/>
      <c r="P82" s="240"/>
      <c r="Q82" s="240"/>
      <c r="R82" s="240" t="s">
        <v>460</v>
      </c>
      <c r="S82" s="240"/>
    </row>
    <row r="83" spans="1:19">
      <c r="A83" s="35">
        <v>46067</v>
      </c>
      <c r="C83" s="42">
        <v>0.4861111111111111</v>
      </c>
      <c r="D83" s="7">
        <v>3550</v>
      </c>
      <c r="E83" s="7" t="s">
        <v>199</v>
      </c>
      <c r="F83" s="7">
        <v>6.6</v>
      </c>
      <c r="G83" s="7">
        <v>18</v>
      </c>
      <c r="I83" s="7">
        <v>1244</v>
      </c>
      <c r="J83" s="7" t="s">
        <v>438</v>
      </c>
      <c r="K83" s="7">
        <v>3.41</v>
      </c>
      <c r="L83" s="7">
        <v>7.75</v>
      </c>
      <c r="M83" s="7">
        <v>27.3</v>
      </c>
      <c r="N83" s="7">
        <v>9.48</v>
      </c>
      <c r="O83" s="7">
        <v>45.9</v>
      </c>
      <c r="P83" s="7">
        <v>3.08</v>
      </c>
    </row>
    <row r="84" spans="1:19">
      <c r="A84" s="35"/>
      <c r="G84" s="7">
        <v>17</v>
      </c>
      <c r="I84" s="7">
        <v>1358</v>
      </c>
      <c r="K84" s="7">
        <v>3.39</v>
      </c>
      <c r="L84" s="7">
        <v>8.16</v>
      </c>
      <c r="M84" s="7">
        <v>29</v>
      </c>
      <c r="N84" s="7">
        <v>4.75</v>
      </c>
      <c r="O84" s="7">
        <v>48.5</v>
      </c>
      <c r="P84" s="7">
        <v>3.23</v>
      </c>
    </row>
    <row r="85" spans="1:19">
      <c r="A85" s="35"/>
      <c r="K85" s="7">
        <v>3.54</v>
      </c>
      <c r="L85" s="7">
        <v>8.1300000000000008</v>
      </c>
      <c r="M85" s="7">
        <v>28.7</v>
      </c>
      <c r="N85" s="7">
        <v>5.1100000000000003</v>
      </c>
      <c r="O85" s="7">
        <v>48.3</v>
      </c>
      <c r="P85" s="7">
        <v>3.22</v>
      </c>
      <c r="R85" s="7" t="s">
        <v>458</v>
      </c>
    </row>
    <row r="86" spans="1:19">
      <c r="A86" s="35">
        <v>46068</v>
      </c>
    </row>
    <row r="87" spans="1:19">
      <c r="A87" s="35">
        <v>46069</v>
      </c>
    </row>
    <row r="88" spans="1:19">
      <c r="A88" s="35">
        <v>46070</v>
      </c>
    </row>
    <row r="89" spans="1:19">
      <c r="A89" s="35">
        <v>46071</v>
      </c>
      <c r="C89" s="42">
        <v>0.37083333333333335</v>
      </c>
      <c r="D89" s="7">
        <v>3400</v>
      </c>
      <c r="E89" s="7" t="s">
        <v>199</v>
      </c>
      <c r="F89" s="7">
        <v>6.82</v>
      </c>
      <c r="G89" s="7">
        <v>18</v>
      </c>
      <c r="I89" s="7">
        <v>1172</v>
      </c>
      <c r="J89" s="7" t="s">
        <v>438</v>
      </c>
      <c r="K89" s="7">
        <v>3.5</v>
      </c>
      <c r="L89" s="7">
        <v>7.96</v>
      </c>
      <c r="M89" s="7">
        <v>28.1</v>
      </c>
      <c r="N89" s="7">
        <v>7.05</v>
      </c>
      <c r="O89" s="7">
        <v>47.2</v>
      </c>
      <c r="P89" s="7">
        <v>3.5</v>
      </c>
    </row>
    <row r="90" spans="1:19">
      <c r="G90" s="7">
        <v>18</v>
      </c>
      <c r="I90" s="7">
        <v>1188</v>
      </c>
      <c r="K90" s="7">
        <v>3.5</v>
      </c>
      <c r="L90" s="7">
        <v>8.02</v>
      </c>
      <c r="M90" s="7">
        <v>28.3</v>
      </c>
      <c r="N90" s="7">
        <v>6.37</v>
      </c>
      <c r="O90" s="7">
        <v>47.6</v>
      </c>
      <c r="P90" s="7">
        <v>3.18</v>
      </c>
    </row>
    <row r="91" spans="1:19">
      <c r="K91" s="7">
        <v>3.67</v>
      </c>
      <c r="L91" s="7">
        <v>8.2100000000000009</v>
      </c>
      <c r="M91" s="7">
        <v>28.9</v>
      </c>
      <c r="N91" s="7">
        <v>4.21</v>
      </c>
      <c r="O91" s="7">
        <v>48.8</v>
      </c>
      <c r="P91" s="7">
        <v>3.25</v>
      </c>
      <c r="R91" s="7" t="s">
        <v>458</v>
      </c>
    </row>
    <row r="92" spans="1:19">
      <c r="A92" s="239">
        <v>46072</v>
      </c>
      <c r="B92" s="240"/>
      <c r="C92" s="240"/>
      <c r="D92" s="240"/>
      <c r="E92" s="240"/>
      <c r="F92" s="240"/>
      <c r="G92" s="240"/>
      <c r="H92" s="240"/>
      <c r="I92" s="240"/>
      <c r="J92" s="240"/>
      <c r="K92" s="240"/>
      <c r="L92" s="240"/>
      <c r="M92" s="240"/>
      <c r="N92" s="240"/>
      <c r="O92" s="240"/>
      <c r="P92" s="240"/>
      <c r="Q92" s="240"/>
      <c r="R92" s="240" t="s">
        <v>529</v>
      </c>
      <c r="S92" s="240"/>
    </row>
    <row r="93" spans="1:19">
      <c r="A93" s="35">
        <v>46073</v>
      </c>
      <c r="C93" s="42">
        <v>0.33333333333333331</v>
      </c>
      <c r="D93" s="7">
        <v>2520</v>
      </c>
      <c r="E93" s="7" t="s">
        <v>199</v>
      </c>
      <c r="F93" s="7">
        <v>6.81</v>
      </c>
      <c r="G93" s="7">
        <v>14</v>
      </c>
      <c r="I93" s="7">
        <v>1381</v>
      </c>
      <c r="K93" s="7">
        <v>3.62</v>
      </c>
      <c r="L93" s="7">
        <v>7.98</v>
      </c>
      <c r="M93" s="7">
        <v>28</v>
      </c>
      <c r="N93" s="7">
        <v>6.82</v>
      </c>
      <c r="O93" s="7">
        <v>47.4</v>
      </c>
      <c r="P93" s="7">
        <v>3.16</v>
      </c>
    </row>
    <row r="94" spans="1:19">
      <c r="K94" s="7">
        <v>3.57</v>
      </c>
      <c r="L94" s="7">
        <v>7.9</v>
      </c>
      <c r="M94" s="7">
        <v>27.8</v>
      </c>
      <c r="N94" s="7">
        <v>7.73</v>
      </c>
      <c r="O94" s="7">
        <v>46.8</v>
      </c>
      <c r="P94" s="7">
        <v>3.13</v>
      </c>
    </row>
    <row r="95" spans="1:19">
      <c r="K95" s="7">
        <v>0.12</v>
      </c>
      <c r="L95" s="7">
        <v>8.19</v>
      </c>
      <c r="M95" s="7">
        <v>32</v>
      </c>
      <c r="N95" s="7">
        <v>4.78</v>
      </c>
      <c r="O95" s="7">
        <v>48.5</v>
      </c>
      <c r="P95" s="7">
        <v>3.2</v>
      </c>
      <c r="R95" s="7" t="s">
        <v>530</v>
      </c>
    </row>
    <row r="96" spans="1:19">
      <c r="K96" s="7">
        <v>2.74</v>
      </c>
      <c r="L96" s="7">
        <v>7.9</v>
      </c>
      <c r="M96" s="7">
        <v>28.5</v>
      </c>
      <c r="N96" s="7">
        <v>7.87</v>
      </c>
      <c r="O96" s="7">
        <v>46.8</v>
      </c>
      <c r="P96" s="7">
        <v>3.12</v>
      </c>
      <c r="R96" s="7" t="s">
        <v>458</v>
      </c>
    </row>
    <row r="97" spans="1:19">
      <c r="A97" s="35">
        <v>46074</v>
      </c>
      <c r="C97" s="42">
        <v>0.30555555555555552</v>
      </c>
      <c r="D97" s="7">
        <v>2490</v>
      </c>
      <c r="E97" s="7" t="s">
        <v>199</v>
      </c>
      <c r="G97" s="7">
        <v>16</v>
      </c>
      <c r="I97" s="7">
        <v>1408</v>
      </c>
      <c r="K97" s="7">
        <v>3.6</v>
      </c>
      <c r="L97" s="7">
        <v>7.84</v>
      </c>
      <c r="M97" s="7">
        <v>27.5</v>
      </c>
      <c r="N97" s="7">
        <v>8.41</v>
      </c>
      <c r="O97" s="7">
        <v>46.5</v>
      </c>
      <c r="P97" s="7">
        <v>3.11</v>
      </c>
    </row>
    <row r="98" spans="1:19">
      <c r="G98" s="7">
        <v>16</v>
      </c>
      <c r="I98" s="7">
        <v>1425</v>
      </c>
      <c r="K98" s="7">
        <v>3.6</v>
      </c>
      <c r="L98" s="7">
        <v>7.93</v>
      </c>
      <c r="M98" s="7">
        <v>27.9</v>
      </c>
      <c r="N98" s="7">
        <v>7.39</v>
      </c>
      <c r="O98" s="7">
        <v>47</v>
      </c>
      <c r="P98" s="7">
        <v>3.14</v>
      </c>
    </row>
    <row r="99" spans="1:19">
      <c r="K99" s="7">
        <v>0.57999999999999996</v>
      </c>
      <c r="L99" s="7">
        <v>7.93</v>
      </c>
      <c r="M99" s="7">
        <v>30.5</v>
      </c>
      <c r="N99" s="7">
        <v>8.2100000000000009</v>
      </c>
      <c r="O99" s="7">
        <v>46.6</v>
      </c>
      <c r="P99" s="7">
        <v>3.11</v>
      </c>
      <c r="R99" s="7" t="s">
        <v>531</v>
      </c>
    </row>
    <row r="100" spans="1:19">
      <c r="K100" s="7">
        <v>2.16</v>
      </c>
      <c r="L100" s="7">
        <v>7.81</v>
      </c>
      <c r="M100" s="7">
        <v>28.7</v>
      </c>
      <c r="N100" s="7">
        <v>9.14</v>
      </c>
      <c r="O100" s="7">
        <v>46.1</v>
      </c>
      <c r="P100" s="7">
        <v>3.09</v>
      </c>
      <c r="R100" s="7" t="s">
        <v>458</v>
      </c>
    </row>
    <row r="101" spans="1:19">
      <c r="A101" s="35">
        <v>46079</v>
      </c>
      <c r="C101" s="42">
        <v>0.39583333333333331</v>
      </c>
      <c r="D101" s="7">
        <v>2540</v>
      </c>
      <c r="E101" s="7" t="s">
        <v>199</v>
      </c>
      <c r="G101" s="7">
        <v>18</v>
      </c>
      <c r="I101" s="7">
        <v>1166</v>
      </c>
      <c r="K101" s="7">
        <v>3.69</v>
      </c>
      <c r="L101" s="7">
        <v>7.92</v>
      </c>
      <c r="M101" s="7">
        <v>27.8</v>
      </c>
      <c r="N101" s="7">
        <v>7.5</v>
      </c>
      <c r="O101" s="7">
        <v>47</v>
      </c>
      <c r="P101" s="7">
        <v>3.14</v>
      </c>
    </row>
    <row r="102" spans="1:19">
      <c r="G102" s="7">
        <v>18</v>
      </c>
      <c r="I102" s="7">
        <v>987</v>
      </c>
      <c r="K102" s="7">
        <v>3.66</v>
      </c>
      <c r="L102" s="7">
        <v>8.08</v>
      </c>
      <c r="M102" s="7">
        <v>28.4</v>
      </c>
      <c r="N102" s="7">
        <v>5.68</v>
      </c>
      <c r="O102" s="7">
        <v>48</v>
      </c>
      <c r="P102" s="7">
        <v>3.2</v>
      </c>
    </row>
    <row r="103" spans="1:19">
      <c r="K103" s="7">
        <v>3.15</v>
      </c>
      <c r="L103" s="7">
        <v>7.85</v>
      </c>
      <c r="M103" s="7">
        <v>28</v>
      </c>
      <c r="N103" s="7">
        <v>8.3800000000000008</v>
      </c>
      <c r="O103" s="7">
        <v>46.5</v>
      </c>
      <c r="P103" s="7">
        <v>3.11</v>
      </c>
      <c r="R103" s="7" t="s">
        <v>531</v>
      </c>
    </row>
    <row r="104" spans="1:19">
      <c r="K104" s="7">
        <v>2.57</v>
      </c>
      <c r="L104" s="7">
        <v>7.89</v>
      </c>
      <c r="M104" s="7">
        <v>28.6</v>
      </c>
      <c r="N104" s="7">
        <v>8.0299999999999994</v>
      </c>
      <c r="O104" s="7">
        <v>46.7</v>
      </c>
      <c r="P104" s="7">
        <v>3.12</v>
      </c>
      <c r="R104" s="7" t="s">
        <v>458</v>
      </c>
    </row>
    <row r="105" spans="1:19">
      <c r="A105" s="35">
        <v>46080</v>
      </c>
      <c r="C105" s="42">
        <v>0.32291666666666669</v>
      </c>
      <c r="D105" s="7">
        <v>2560</v>
      </c>
      <c r="E105" s="7" t="s">
        <v>199</v>
      </c>
      <c r="G105" s="7">
        <v>16</v>
      </c>
      <c r="I105" s="7">
        <v>1063</v>
      </c>
      <c r="K105" s="7">
        <v>3.64</v>
      </c>
      <c r="L105" s="7">
        <v>8.0299999999999994</v>
      </c>
      <c r="M105" s="7">
        <v>28.2</v>
      </c>
      <c r="N105" s="7">
        <v>6.25</v>
      </c>
      <c r="O105" s="7">
        <v>47.7</v>
      </c>
      <c r="P105" s="7">
        <v>3.18</v>
      </c>
    </row>
    <row r="106" spans="1:19">
      <c r="G106" s="7">
        <v>14</v>
      </c>
      <c r="K106" s="7">
        <v>3.65</v>
      </c>
      <c r="L106" s="7">
        <v>8.1300000000000008</v>
      </c>
      <c r="M106" s="7">
        <v>28.6</v>
      </c>
      <c r="N106" s="7">
        <v>5.1100000000000003</v>
      </c>
      <c r="O106" s="7">
        <v>48.3</v>
      </c>
      <c r="P106" s="7">
        <v>3.22</v>
      </c>
    </row>
    <row r="107" spans="1:19">
      <c r="K107" s="7">
        <v>0.26</v>
      </c>
      <c r="L107" s="7">
        <v>8.1</v>
      </c>
      <c r="M107" s="7">
        <v>31.5</v>
      </c>
      <c r="N107" s="7">
        <v>5.99</v>
      </c>
      <c r="O107" s="7">
        <v>47.8</v>
      </c>
      <c r="P107" s="7">
        <v>3.17</v>
      </c>
      <c r="R107" s="7" t="s">
        <v>614</v>
      </c>
      <c r="S107" s="7" t="s">
        <v>408</v>
      </c>
    </row>
    <row r="108" spans="1:19">
      <c r="K108" s="7">
        <v>2.44</v>
      </c>
      <c r="L108" s="7">
        <v>7.87</v>
      </c>
      <c r="M108" s="7">
        <v>28.7</v>
      </c>
      <c r="N108" s="7">
        <v>8.31</v>
      </c>
      <c r="O108" s="7">
        <v>46.5</v>
      </c>
      <c r="P108" s="7">
        <v>3.11</v>
      </c>
      <c r="R108" s="7" t="s">
        <v>458</v>
      </c>
    </row>
    <row r="109" spans="1:19">
      <c r="A109" s="35">
        <v>46081</v>
      </c>
      <c r="C109" s="42">
        <v>0.33055555555555555</v>
      </c>
      <c r="D109" s="7">
        <v>2460</v>
      </c>
      <c r="E109" s="7" t="s">
        <v>199</v>
      </c>
      <c r="G109" s="7">
        <v>13</v>
      </c>
      <c r="I109" s="7">
        <v>1500</v>
      </c>
      <c r="K109" s="7">
        <v>3.62</v>
      </c>
      <c r="L109" s="7">
        <v>8.14</v>
      </c>
      <c r="M109" s="7">
        <v>28.7</v>
      </c>
      <c r="N109" s="7">
        <v>5</v>
      </c>
      <c r="O109" s="7">
        <v>48.4</v>
      </c>
      <c r="P109" s="7">
        <v>3.22</v>
      </c>
    </row>
    <row r="110" spans="1:19">
      <c r="G110" s="7">
        <v>14</v>
      </c>
      <c r="I110" s="7">
        <v>1500</v>
      </c>
      <c r="K110" s="7">
        <v>3.66</v>
      </c>
      <c r="L110" s="7">
        <v>8.25</v>
      </c>
      <c r="M110" s="7">
        <v>29.1</v>
      </c>
      <c r="N110" s="7">
        <v>3.75</v>
      </c>
      <c r="O110" s="7">
        <v>49.1</v>
      </c>
      <c r="P110" s="7">
        <v>3.26</v>
      </c>
    </row>
    <row r="111" spans="1:19">
      <c r="K111" s="7">
        <v>2.1</v>
      </c>
      <c r="L111" s="7">
        <v>7.93</v>
      </c>
      <c r="M111" s="7">
        <v>29.2</v>
      </c>
      <c r="N111" s="7">
        <v>7.65</v>
      </c>
      <c r="O111" s="7">
        <v>46.9</v>
      </c>
      <c r="P111" s="7">
        <v>3.13</v>
      </c>
      <c r="R111" s="7" t="s">
        <v>441</v>
      </c>
    </row>
    <row r="112" spans="1:19">
      <c r="K112" s="7">
        <v>2.09</v>
      </c>
      <c r="L112" s="7">
        <v>7.87</v>
      </c>
      <c r="M112" s="7">
        <v>29</v>
      </c>
      <c r="N112" s="7">
        <v>8.41</v>
      </c>
      <c r="O112" s="7">
        <v>46.5</v>
      </c>
      <c r="P112" s="7">
        <v>3.11</v>
      </c>
      <c r="R112" s="7" t="s">
        <v>458</v>
      </c>
    </row>
    <row r="113" spans="1:18">
      <c r="A113" s="35">
        <v>46084</v>
      </c>
      <c r="C113" s="42">
        <v>0.3263888888888889</v>
      </c>
      <c r="D113" s="7">
        <v>2550</v>
      </c>
      <c r="E113" s="7" t="s">
        <v>199</v>
      </c>
      <c r="G113" s="7">
        <v>17</v>
      </c>
      <c r="I113" s="7">
        <v>1377</v>
      </c>
      <c r="K113" s="7">
        <v>3.59</v>
      </c>
      <c r="L113" s="7">
        <v>7.81</v>
      </c>
      <c r="M113" s="7">
        <v>27.4</v>
      </c>
      <c r="N113" s="7">
        <v>8.76</v>
      </c>
      <c r="O113" s="7">
        <v>46.3</v>
      </c>
      <c r="P113" s="7">
        <v>3.1</v>
      </c>
    </row>
    <row r="114" spans="1:18">
      <c r="K114" s="7">
        <v>3.22</v>
      </c>
      <c r="L114" s="7">
        <v>7.86</v>
      </c>
      <c r="M114" s="7">
        <v>27.9</v>
      </c>
      <c r="N114" s="7">
        <v>8.25</v>
      </c>
      <c r="O114" s="7">
        <v>46.6</v>
      </c>
      <c r="P114" s="7">
        <v>3.11</v>
      </c>
    </row>
    <row r="115" spans="1:18">
      <c r="K115" s="7">
        <v>3.43</v>
      </c>
      <c r="L115" s="7">
        <v>8.58</v>
      </c>
      <c r="M115" s="7">
        <v>32.5</v>
      </c>
      <c r="N115" s="7">
        <v>0</v>
      </c>
      <c r="O115" s="7">
        <v>60.2</v>
      </c>
      <c r="P115" s="7">
        <v>2.64</v>
      </c>
      <c r="R115" s="7" t="s">
        <v>458</v>
      </c>
    </row>
    <row r="116" spans="1:18">
      <c r="A116" s="35">
        <v>46085</v>
      </c>
      <c r="C116" s="42">
        <v>0.30902777777777779</v>
      </c>
      <c r="D116" s="7">
        <v>2490</v>
      </c>
      <c r="E116" s="7" t="s">
        <v>199</v>
      </c>
      <c r="G116" s="7">
        <v>17</v>
      </c>
      <c r="I116" s="7">
        <v>1256</v>
      </c>
      <c r="K116" s="7">
        <v>3.59</v>
      </c>
      <c r="L116" s="7">
        <v>7.88</v>
      </c>
      <c r="M116" s="7">
        <v>27.7</v>
      </c>
      <c r="N116" s="7">
        <v>7.96</v>
      </c>
      <c r="O116" s="7">
        <v>46.7</v>
      </c>
      <c r="P116" s="7">
        <v>3.13</v>
      </c>
    </row>
    <row r="117" spans="1:18">
      <c r="G117" s="7">
        <v>17</v>
      </c>
      <c r="I117" s="7">
        <v>1500</v>
      </c>
      <c r="K117" s="7">
        <v>3.53</v>
      </c>
      <c r="L117" s="7">
        <v>7.86</v>
      </c>
      <c r="M117" s="7">
        <v>27.6</v>
      </c>
      <c r="N117" s="7">
        <v>8.1999999999999993</v>
      </c>
      <c r="O117" s="7">
        <v>46.6</v>
      </c>
      <c r="P117" s="7">
        <v>3.12</v>
      </c>
    </row>
    <row r="118" spans="1:18">
      <c r="K118" s="7">
        <v>3.56</v>
      </c>
      <c r="L118" s="7">
        <v>7.76</v>
      </c>
      <c r="M118" s="7">
        <v>27.2</v>
      </c>
      <c r="N118" s="7">
        <v>9.33</v>
      </c>
      <c r="O118" s="7">
        <v>46</v>
      </c>
      <c r="P118" s="7">
        <v>3.08</v>
      </c>
    </row>
    <row r="119" spans="1:18">
      <c r="A119" s="35">
        <v>46086</v>
      </c>
      <c r="C119" s="42">
        <v>0.3298611111111111</v>
      </c>
      <c r="D119" s="7">
        <v>2660</v>
      </c>
      <c r="E119" s="7" t="s">
        <v>199</v>
      </c>
      <c r="G119" s="7">
        <v>17</v>
      </c>
      <c r="I119" s="7">
        <v>1500</v>
      </c>
      <c r="K119" s="7">
        <v>3.56</v>
      </c>
      <c r="L119" s="7">
        <v>7.78</v>
      </c>
      <c r="M119" s="7">
        <v>27.3</v>
      </c>
      <c r="N119" s="7">
        <v>9.1</v>
      </c>
      <c r="O119" s="7">
        <v>46.1</v>
      </c>
      <c r="P119" s="7">
        <v>3.09</v>
      </c>
    </row>
    <row r="120" spans="1:18">
      <c r="G120" s="7">
        <v>16</v>
      </c>
      <c r="I120" s="7">
        <v>1500</v>
      </c>
      <c r="K120" s="7">
        <v>3.62</v>
      </c>
      <c r="L120" s="7">
        <v>7.87</v>
      </c>
      <c r="M120" s="7">
        <v>27.6</v>
      </c>
      <c r="N120" s="7">
        <v>8.07</v>
      </c>
      <c r="O120" s="7">
        <v>46.7</v>
      </c>
      <c r="P120" s="7">
        <v>3.12</v>
      </c>
    </row>
    <row r="121" spans="1:18">
      <c r="K121" s="7">
        <v>0.12</v>
      </c>
      <c r="L121" s="7">
        <v>7.86</v>
      </c>
      <c r="M121" s="7">
        <v>30.7</v>
      </c>
      <c r="N121" s="7">
        <v>9.41</v>
      </c>
      <c r="O121" s="7">
        <v>45.9</v>
      </c>
      <c r="P121" s="7">
        <v>3.08</v>
      </c>
      <c r="R121" s="7" t="s">
        <v>441</v>
      </c>
    </row>
    <row r="122" spans="1:18">
      <c r="K122" s="7">
        <v>2.11</v>
      </c>
      <c r="L122" s="7">
        <v>7.95</v>
      </c>
      <c r="M122" s="7">
        <v>29.3</v>
      </c>
      <c r="N122" s="7">
        <v>7.4</v>
      </c>
      <c r="O122" s="7">
        <v>47</v>
      </c>
      <c r="P122" s="7">
        <v>3.14</v>
      </c>
      <c r="R122" s="7" t="s">
        <v>458</v>
      </c>
    </row>
    <row r="123" spans="1:18">
      <c r="A123" s="35">
        <v>46087</v>
      </c>
      <c r="B123" s="307" t="s">
        <v>644</v>
      </c>
      <c r="C123" s="42">
        <v>0.30555555555555558</v>
      </c>
      <c r="D123" s="7">
        <v>2590</v>
      </c>
      <c r="E123" s="307" t="s">
        <v>199</v>
      </c>
      <c r="F123" s="7">
        <v>6.9</v>
      </c>
      <c r="G123" s="7">
        <v>18</v>
      </c>
      <c r="I123" s="7">
        <v>1500</v>
      </c>
      <c r="K123" s="7">
        <v>3.67</v>
      </c>
      <c r="L123" s="7">
        <v>8.33</v>
      </c>
      <c r="M123" s="7">
        <v>29.4</v>
      </c>
      <c r="N123" s="7">
        <v>2.85</v>
      </c>
      <c r="O123" s="7">
        <v>49.6</v>
      </c>
      <c r="P123" s="7">
        <v>3.29</v>
      </c>
    </row>
    <row r="124" spans="1:18">
      <c r="A124" s="35">
        <v>46088</v>
      </c>
      <c r="B124" s="307" t="s">
        <v>644</v>
      </c>
      <c r="C124" s="42">
        <v>0.30555555555555558</v>
      </c>
      <c r="D124" s="7">
        <v>2570</v>
      </c>
      <c r="E124" s="307" t="s">
        <v>199</v>
      </c>
      <c r="F124" s="7">
        <v>6.8</v>
      </c>
      <c r="G124" s="7">
        <v>17</v>
      </c>
      <c r="I124" s="7">
        <v>1500</v>
      </c>
      <c r="K124" s="7">
        <v>3.55</v>
      </c>
      <c r="L124" s="7">
        <v>8.06</v>
      </c>
      <c r="M124" s="7">
        <v>28.4</v>
      </c>
      <c r="N124" s="7">
        <v>5.91</v>
      </c>
      <c r="O124" s="7">
        <v>47.9</v>
      </c>
      <c r="P124" s="7">
        <v>3.19</v>
      </c>
    </row>
    <row r="125" spans="1:18">
      <c r="G125" s="7">
        <v>17</v>
      </c>
      <c r="K125" s="7">
        <v>3.55</v>
      </c>
      <c r="L125" s="7">
        <v>8.1</v>
      </c>
      <c r="M125" s="7">
        <v>28.6</v>
      </c>
      <c r="N125" s="7">
        <v>5.45</v>
      </c>
      <c r="O125" s="7">
        <v>48.1</v>
      </c>
      <c r="P125" s="7">
        <v>3.21</v>
      </c>
      <c r="R125" s="307" t="s">
        <v>408</v>
      </c>
    </row>
    <row r="126" spans="1:18">
      <c r="K126" s="7">
        <v>2.33</v>
      </c>
      <c r="L126" s="7">
        <v>8.61</v>
      </c>
      <c r="M126" s="7">
        <v>33.6</v>
      </c>
      <c r="N126" s="7">
        <v>0</v>
      </c>
      <c r="O126" s="7">
        <v>60.6</v>
      </c>
      <c r="P126" s="7">
        <v>2.64</v>
      </c>
      <c r="R126" s="307" t="s">
        <v>614</v>
      </c>
    </row>
    <row r="127" spans="1:18">
      <c r="A127" s="35">
        <v>46092</v>
      </c>
      <c r="B127" s="307" t="s">
        <v>644</v>
      </c>
      <c r="C127" s="42">
        <v>0.3125</v>
      </c>
      <c r="D127" s="7">
        <v>2250</v>
      </c>
      <c r="F127" s="7">
        <v>6.12</v>
      </c>
      <c r="G127" s="7">
        <v>17</v>
      </c>
      <c r="K127" s="7">
        <v>3.38</v>
      </c>
      <c r="L127" s="7">
        <v>7.83</v>
      </c>
      <c r="M127" s="7">
        <v>27.7</v>
      </c>
      <c r="N127" s="7">
        <v>8.57</v>
      </c>
      <c r="O127" s="7">
        <v>46.4</v>
      </c>
      <c r="P127" s="7">
        <v>3.11</v>
      </c>
    </row>
    <row r="128" spans="1:18">
      <c r="F128" s="7">
        <v>6.29</v>
      </c>
      <c r="G128" s="7">
        <v>17</v>
      </c>
      <c r="K128" s="7">
        <v>3.34</v>
      </c>
      <c r="L128" s="7">
        <v>7.71</v>
      </c>
      <c r="M128" s="7">
        <v>27.2</v>
      </c>
      <c r="N128" s="7">
        <v>9.9700000000000006</v>
      </c>
      <c r="O128" s="7">
        <v>45.6</v>
      </c>
      <c r="P128" s="7">
        <v>3.06</v>
      </c>
    </row>
    <row r="129" spans="1:18">
      <c r="K129" s="7">
        <v>1.54</v>
      </c>
      <c r="L129" s="7">
        <v>8.3699999999999992</v>
      </c>
      <c r="M129" s="7">
        <v>33.4</v>
      </c>
      <c r="N129" s="7">
        <v>0</v>
      </c>
      <c r="O129" s="7">
        <v>59</v>
      </c>
      <c r="P129" s="7">
        <v>2.5499999999999998</v>
      </c>
    </row>
    <row r="130" spans="1:18">
      <c r="K130" s="7">
        <v>2.2599999999999998</v>
      </c>
      <c r="L130" s="7">
        <v>8.4700000000000006</v>
      </c>
      <c r="M130" s="7">
        <v>33.1</v>
      </c>
      <c r="N130" s="7">
        <v>0</v>
      </c>
      <c r="O130" s="7">
        <v>59.6</v>
      </c>
      <c r="P130" s="7">
        <v>2.59</v>
      </c>
      <c r="R130" s="307" t="s">
        <v>614</v>
      </c>
    </row>
    <row r="131" spans="1:18">
      <c r="A131" s="35">
        <v>46093</v>
      </c>
      <c r="B131" s="307" t="s">
        <v>644</v>
      </c>
      <c r="C131" s="42">
        <v>0.49930555555555556</v>
      </c>
      <c r="D131" s="7">
        <v>1680</v>
      </c>
      <c r="E131" s="307" t="s">
        <v>199</v>
      </c>
      <c r="F131" s="7">
        <v>7.18</v>
      </c>
      <c r="G131" s="7">
        <v>14</v>
      </c>
      <c r="I131" s="7">
        <v>431</v>
      </c>
      <c r="K131" s="7">
        <v>3.52</v>
      </c>
      <c r="L131" s="7">
        <v>8.3800000000000008</v>
      </c>
      <c r="M131" s="7">
        <v>29.7</v>
      </c>
      <c r="N131" s="7">
        <v>2.2400000000000002</v>
      </c>
      <c r="O131" s="7">
        <v>49.9</v>
      </c>
      <c r="P131" s="7">
        <v>3.31</v>
      </c>
    </row>
    <row r="132" spans="1:18">
      <c r="K132" s="7">
        <v>3.54</v>
      </c>
      <c r="L132" s="7">
        <v>8.01</v>
      </c>
      <c r="M132" s="7">
        <v>28.2</v>
      </c>
      <c r="N132" s="7">
        <v>6.48</v>
      </c>
      <c r="O132" s="7">
        <v>47.6</v>
      </c>
      <c r="P132" s="7">
        <v>3.17</v>
      </c>
    </row>
    <row r="133" spans="1:18">
      <c r="K133" s="7">
        <v>3.72</v>
      </c>
      <c r="L133" s="7">
        <v>8.7799999999999994</v>
      </c>
      <c r="M133" s="7">
        <v>33.1</v>
      </c>
      <c r="N133" s="7">
        <v>0</v>
      </c>
      <c r="O133" s="7">
        <v>61.4</v>
      </c>
      <c r="P133" s="7">
        <v>2.72</v>
      </c>
    </row>
    <row r="134" spans="1:18">
      <c r="A134" s="35">
        <v>46094</v>
      </c>
      <c r="B134" s="307" t="s">
        <v>644</v>
      </c>
      <c r="C134" s="42">
        <v>0.27083333333333331</v>
      </c>
      <c r="D134" s="7">
        <v>2760</v>
      </c>
      <c r="E134" s="307" t="s">
        <v>199</v>
      </c>
      <c r="F134" s="7">
        <v>6.8</v>
      </c>
      <c r="G134" s="7">
        <v>17</v>
      </c>
      <c r="I134" s="7">
        <v>579</v>
      </c>
      <c r="K134" s="7">
        <v>3.7</v>
      </c>
      <c r="L134" s="7">
        <v>7.95</v>
      </c>
      <c r="M134" s="7">
        <v>27.9</v>
      </c>
      <c r="N134" s="7">
        <v>7.16</v>
      </c>
      <c r="O134" s="7">
        <v>47.2</v>
      </c>
      <c r="P134" s="7">
        <v>3.15</v>
      </c>
    </row>
    <row r="135" spans="1:18">
      <c r="I135" s="7">
        <v>608</v>
      </c>
      <c r="K135" s="7">
        <v>3.78</v>
      </c>
      <c r="L135" s="7">
        <v>8.24</v>
      </c>
      <c r="M135" s="7">
        <v>28.9</v>
      </c>
      <c r="N135" s="7">
        <v>3.89</v>
      </c>
      <c r="O135" s="7">
        <v>49</v>
      </c>
      <c r="P135" s="7">
        <v>3.26</v>
      </c>
    </row>
    <row r="136" spans="1:18">
      <c r="K136" s="7">
        <v>2.44</v>
      </c>
      <c r="L136" s="7">
        <v>8.6300000000000008</v>
      </c>
      <c r="M136" s="7">
        <v>33.6</v>
      </c>
      <c r="N136" s="7">
        <v>0</v>
      </c>
      <c r="O136" s="7">
        <v>60.7</v>
      </c>
      <c r="P136" s="7">
        <v>2.65</v>
      </c>
      <c r="R136" s="307" t="s">
        <v>614</v>
      </c>
    </row>
    <row r="137" spans="1:18">
      <c r="A137" s="35">
        <v>46095</v>
      </c>
      <c r="B137" s="307" t="s">
        <v>644</v>
      </c>
      <c r="C137" s="42">
        <v>0.30555555555555558</v>
      </c>
      <c r="D137" s="7">
        <v>2550</v>
      </c>
      <c r="E137" s="307" t="s">
        <v>199</v>
      </c>
      <c r="F137" s="7">
        <v>6.9</v>
      </c>
      <c r="I137" s="7">
        <v>368</v>
      </c>
      <c r="K137" s="7">
        <v>3.62</v>
      </c>
      <c r="L137" s="7">
        <v>8.16</v>
      </c>
      <c r="M137" s="7">
        <v>28.8</v>
      </c>
      <c r="N137" s="7">
        <v>4.7699999999999996</v>
      </c>
      <c r="O137" s="7">
        <v>48.5</v>
      </c>
      <c r="P137" s="7">
        <v>3.23</v>
      </c>
    </row>
    <row r="138" spans="1:18">
      <c r="K138" s="7">
        <v>3.58</v>
      </c>
      <c r="L138" s="7">
        <v>7.96</v>
      </c>
      <c r="M138" s="7">
        <v>28</v>
      </c>
      <c r="N138" s="7">
        <v>7.05</v>
      </c>
      <c r="O138" s="7">
        <v>47.2</v>
      </c>
      <c r="P138" s="7">
        <v>3.16</v>
      </c>
    </row>
    <row r="139" spans="1:18">
      <c r="K139" s="7">
        <v>3.28</v>
      </c>
      <c r="L139" s="7">
        <v>8.34</v>
      </c>
      <c r="M139" s="7">
        <v>31.7</v>
      </c>
      <c r="N139" s="7">
        <v>0</v>
      </c>
      <c r="O139" s="7">
        <v>58.7</v>
      </c>
      <c r="P139" s="7">
        <v>2.5499999999999998</v>
      </c>
    </row>
    <row r="140" spans="1:18">
      <c r="A140" s="35">
        <v>46099</v>
      </c>
      <c r="B140" s="307" t="s">
        <v>644</v>
      </c>
      <c r="C140" s="42">
        <v>0.3125</v>
      </c>
      <c r="D140" s="7">
        <v>2230</v>
      </c>
      <c r="E140" s="307" t="s">
        <v>199</v>
      </c>
      <c r="G140" s="7">
        <v>17</v>
      </c>
      <c r="I140" s="7">
        <v>766</v>
      </c>
      <c r="K140" s="7">
        <v>3.57</v>
      </c>
      <c r="L140" s="7">
        <v>8.07</v>
      </c>
      <c r="M140" s="7">
        <v>28.5</v>
      </c>
      <c r="N140" s="7">
        <v>5.79</v>
      </c>
      <c r="O140" s="7">
        <v>47.9</v>
      </c>
      <c r="P140" s="7">
        <v>3.2</v>
      </c>
    </row>
    <row r="141" spans="1:18">
      <c r="K141" s="7">
        <v>3.65</v>
      </c>
      <c r="L141" s="7">
        <v>8.0500000000000007</v>
      </c>
      <c r="M141" s="7">
        <v>28.3</v>
      </c>
      <c r="N141" s="7">
        <v>6.02</v>
      </c>
      <c r="O141" s="7">
        <v>47.8</v>
      </c>
      <c r="P141" s="7">
        <v>3.19</v>
      </c>
    </row>
    <row r="142" spans="1:18">
      <c r="K142" s="7">
        <v>2.2999999999999998</v>
      </c>
      <c r="L142" s="7">
        <v>8.56</v>
      </c>
      <c r="M142" s="7">
        <v>33.5</v>
      </c>
      <c r="N142" s="7">
        <v>0</v>
      </c>
      <c r="O142" s="7">
        <v>60.3</v>
      </c>
      <c r="P142" s="7">
        <v>2.62</v>
      </c>
      <c r="R142" s="307" t="s">
        <v>614</v>
      </c>
    </row>
    <row r="143" spans="1:18">
      <c r="A143" s="35">
        <v>46100</v>
      </c>
      <c r="B143" s="307" t="s">
        <v>644</v>
      </c>
      <c r="C143" s="42">
        <v>0.35</v>
      </c>
      <c r="D143" s="7">
        <v>3720</v>
      </c>
      <c r="E143" s="307" t="s">
        <v>199</v>
      </c>
      <c r="F143" s="7">
        <v>6.8</v>
      </c>
      <c r="G143" s="7">
        <v>16</v>
      </c>
      <c r="I143" s="7">
        <v>595</v>
      </c>
      <c r="K143" s="7">
        <v>3.67</v>
      </c>
      <c r="L143" s="7">
        <v>8</v>
      </c>
      <c r="M143" s="7">
        <v>28.1</v>
      </c>
      <c r="N143" s="7">
        <v>6.59</v>
      </c>
      <c r="O143" s="7">
        <v>47.5</v>
      </c>
      <c r="P143" s="7">
        <v>3.17</v>
      </c>
    </row>
    <row r="144" spans="1:18">
      <c r="K144" s="7">
        <v>3.65</v>
      </c>
      <c r="L144" s="7">
        <v>7.97</v>
      </c>
      <c r="M144" s="7">
        <v>28</v>
      </c>
      <c r="N144" s="7">
        <v>6.93</v>
      </c>
      <c r="O144" s="7">
        <v>47.3</v>
      </c>
      <c r="P144" s="7">
        <v>3.16</v>
      </c>
    </row>
    <row r="145" spans="1:18">
      <c r="K145" s="7">
        <v>2.73</v>
      </c>
      <c r="L145" s="7">
        <v>8.6999999999999993</v>
      </c>
      <c r="M145" s="7">
        <v>33.6</v>
      </c>
      <c r="N145" s="7">
        <v>0</v>
      </c>
      <c r="O145" s="7">
        <v>61.2</v>
      </c>
      <c r="P145" s="7">
        <v>2.68</v>
      </c>
      <c r="R145" s="307" t="s">
        <v>614</v>
      </c>
    </row>
    <row r="146" spans="1:18">
      <c r="A146" s="35">
        <v>46101</v>
      </c>
      <c r="B146" s="307" t="s">
        <v>644</v>
      </c>
      <c r="C146" s="42">
        <v>0.3125</v>
      </c>
      <c r="D146" s="7">
        <v>3670</v>
      </c>
      <c r="E146" s="307" t="s">
        <v>199</v>
      </c>
      <c r="K146" s="7">
        <v>3.75</v>
      </c>
      <c r="L146" s="7">
        <v>8.2200000000000006</v>
      </c>
      <c r="M146" s="7">
        <v>28.9</v>
      </c>
      <c r="N146" s="7">
        <v>4.1100000000000003</v>
      </c>
      <c r="O146" s="7">
        <v>48.9</v>
      </c>
      <c r="P146" s="7">
        <v>3.25</v>
      </c>
    </row>
    <row r="147" spans="1:18">
      <c r="K147" s="7">
        <v>3.7</v>
      </c>
      <c r="L147" s="7">
        <v>8.01</v>
      </c>
      <c r="M147" s="7">
        <v>28.1</v>
      </c>
      <c r="N147" s="7">
        <v>6.48</v>
      </c>
      <c r="O147" s="7">
        <v>47.6</v>
      </c>
      <c r="P147" s="7">
        <v>3.17</v>
      </c>
    </row>
    <row r="148" spans="1:18">
      <c r="K148" s="7">
        <v>2.3199999999999998</v>
      </c>
      <c r="L148" s="7">
        <v>8.59</v>
      </c>
      <c r="M148" s="7">
        <v>33.6</v>
      </c>
      <c r="N148" s="7">
        <v>0</v>
      </c>
      <c r="O148" s="7">
        <v>60.5</v>
      </c>
      <c r="P148" s="7">
        <v>2.63</v>
      </c>
      <c r="R148" s="307" t="s">
        <v>614</v>
      </c>
    </row>
    <row r="149" spans="1:18">
      <c r="A149" s="35">
        <v>46102</v>
      </c>
      <c r="B149" s="307" t="s">
        <v>644</v>
      </c>
      <c r="C149" s="42">
        <v>0.31597222222222221</v>
      </c>
      <c r="D149" s="7">
        <v>2210</v>
      </c>
      <c r="E149" s="307" t="s">
        <v>199</v>
      </c>
      <c r="F149" s="7">
        <v>6.79</v>
      </c>
      <c r="G149" s="7">
        <v>16</v>
      </c>
      <c r="I149" s="7">
        <v>558</v>
      </c>
      <c r="K149" s="7">
        <v>2.08</v>
      </c>
      <c r="L149" s="7">
        <v>5.66</v>
      </c>
      <c r="M149" s="7">
        <v>20.2</v>
      </c>
      <c r="N149" s="7">
        <v>36.200000000000003</v>
      </c>
      <c r="O149" s="7">
        <v>31</v>
      </c>
      <c r="P149" s="7">
        <v>2.2999999999999998</v>
      </c>
    </row>
    <row r="150" spans="1:18">
      <c r="G150" s="7">
        <v>16</v>
      </c>
      <c r="K150" s="7">
        <v>3.63</v>
      </c>
      <c r="L150" s="7">
        <v>7.86</v>
      </c>
      <c r="M150" s="7">
        <v>27.6</v>
      </c>
      <c r="N150" s="7">
        <v>8.18</v>
      </c>
      <c r="O150" s="7">
        <v>46.6</v>
      </c>
      <c r="P150" s="7">
        <v>3.12</v>
      </c>
    </row>
    <row r="151" spans="1:18">
      <c r="K151" s="7">
        <v>2.38</v>
      </c>
      <c r="L151" s="7">
        <v>8.43</v>
      </c>
      <c r="M151" s="7">
        <v>32.9</v>
      </c>
      <c r="N151" s="7">
        <v>0</v>
      </c>
      <c r="O151" s="7">
        <v>59.4</v>
      </c>
      <c r="P151" s="7">
        <v>2.58</v>
      </c>
      <c r="R151" s="307" t="s">
        <v>614</v>
      </c>
    </row>
    <row r="152" spans="1:18">
      <c r="A152" s="35">
        <v>46105</v>
      </c>
      <c r="B152" s="307" t="s">
        <v>644</v>
      </c>
      <c r="C152" s="42">
        <v>0.32291666666666669</v>
      </c>
      <c r="D152" s="7">
        <v>2760</v>
      </c>
      <c r="E152" s="307" t="s">
        <v>199</v>
      </c>
      <c r="G152" s="7">
        <v>14</v>
      </c>
      <c r="I152" s="7">
        <v>1127</v>
      </c>
      <c r="K152" s="7">
        <v>3.84</v>
      </c>
      <c r="L152" s="7">
        <v>8.43</v>
      </c>
      <c r="M152" s="7">
        <v>29.7</v>
      </c>
      <c r="O152" s="7">
        <v>50.2</v>
      </c>
      <c r="P152" s="7">
        <v>3.33</v>
      </c>
    </row>
    <row r="153" spans="1:18">
      <c r="K153" s="7">
        <v>3.72</v>
      </c>
      <c r="L153" s="7">
        <v>8.57</v>
      </c>
      <c r="M153" s="7">
        <v>30.3</v>
      </c>
      <c r="O153" s="7">
        <v>51.1</v>
      </c>
      <c r="P153" s="7">
        <v>3.38</v>
      </c>
    </row>
    <row r="154" spans="1:18">
      <c r="K154" s="7">
        <v>2.23</v>
      </c>
      <c r="L154" s="7">
        <v>8.41</v>
      </c>
      <c r="M154" s="7">
        <v>32.9</v>
      </c>
      <c r="N154" s="7">
        <v>0</v>
      </c>
      <c r="O154" s="7">
        <v>59.2</v>
      </c>
      <c r="P154" s="7">
        <v>2.57</v>
      </c>
      <c r="R154" s="307" t="s">
        <v>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9"/>
  <sheetViews>
    <sheetView tabSelected="1" topLeftCell="A6" workbookViewId="0">
      <selection activeCell="N40" sqref="N40"/>
    </sheetView>
  </sheetViews>
  <sheetFormatPr baseColWidth="10" defaultColWidth="11" defaultRowHeight="14.4"/>
  <cols>
    <col min="1" max="1" width="5.44140625" customWidth="1"/>
    <col min="2" max="2" width="43.5546875" customWidth="1"/>
    <col min="3" max="3" width="9.21875" customWidth="1"/>
    <col min="4" max="4" width="2.77734375" customWidth="1"/>
    <col min="5" max="5" width="4.109375" customWidth="1"/>
    <col min="6" max="6" width="17.5546875" hidden="1" customWidth="1"/>
    <col min="7" max="7" width="4.6640625" customWidth="1"/>
    <col min="8" max="8" width="3.33203125" customWidth="1"/>
    <col min="9" max="9" width="17" customWidth="1"/>
    <col min="10" max="10" width="17.6640625" customWidth="1"/>
    <col min="11" max="11" width="20.88671875" customWidth="1"/>
    <col min="12" max="12" width="19.88671875" customWidth="1"/>
    <col min="13" max="13" width="18.44140625" customWidth="1"/>
  </cols>
  <sheetData>
    <row r="1" spans="1:31">
      <c r="A1" s="97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  <c r="G1" s="97" t="s">
        <v>6</v>
      </c>
      <c r="H1" s="97" t="s">
        <v>7</v>
      </c>
      <c r="I1" s="97" t="s">
        <v>8</v>
      </c>
      <c r="J1" s="97" t="s">
        <v>9</v>
      </c>
      <c r="K1" s="103" t="s">
        <v>10</v>
      </c>
      <c r="L1" s="103" t="s">
        <v>11</v>
      </c>
      <c r="M1" t="s">
        <v>8</v>
      </c>
      <c r="Q1" t="s">
        <v>11</v>
      </c>
      <c r="S1" t="s">
        <v>12</v>
      </c>
      <c r="U1" t="s">
        <v>361</v>
      </c>
      <c r="W1" t="s">
        <v>363</v>
      </c>
      <c r="Y1" t="s">
        <v>553</v>
      </c>
      <c r="Z1">
        <f ca="1">INT(TODAY())</f>
        <v>46108</v>
      </c>
      <c r="AA1" t="s">
        <v>560</v>
      </c>
      <c r="AC1" t="s">
        <v>567</v>
      </c>
      <c r="AE1" t="s">
        <v>611</v>
      </c>
    </row>
    <row r="2" spans="1:31">
      <c r="A2" s="97">
        <v>1</v>
      </c>
      <c r="B2" s="97" t="s">
        <v>13</v>
      </c>
      <c r="C2" s="97" t="s">
        <v>14</v>
      </c>
      <c r="D2" s="97" t="s">
        <v>15</v>
      </c>
      <c r="E2" s="97" t="s">
        <v>16</v>
      </c>
      <c r="F2" s="98"/>
      <c r="G2" s="99">
        <v>25</v>
      </c>
      <c r="H2" s="99" t="s">
        <v>17</v>
      </c>
      <c r="I2" s="99"/>
      <c r="J2">
        <v>0.47</v>
      </c>
      <c r="K2" s="104">
        <f ca="1">SUMIFS('Registro chedar dinamico'!G:G,'Registro chedar dinamico'!A:A,$Z$1)</f>
        <v>0</v>
      </c>
      <c r="L2" s="104">
        <f ca="1">+Tabla1[[#This Row],[STOCK INICIAL]]-Tabla1[[#This Row],[STOCK OCUPADO]]</f>
        <v>0.47</v>
      </c>
      <c r="Q2">
        <f t="shared" ref="Q2:Q11" si="0">J2</f>
        <v>0.47</v>
      </c>
      <c r="S2">
        <v>4.266</v>
      </c>
      <c r="U2">
        <v>3.8340000000000001</v>
      </c>
      <c r="W2">
        <v>3.6179999999999999</v>
      </c>
      <c r="Y2">
        <v>0.79300000000000004</v>
      </c>
      <c r="AA2">
        <v>-0.1429999999999999</v>
      </c>
      <c r="AC2">
        <v>0.75</v>
      </c>
      <c r="AE2" s="298">
        <v>0.318</v>
      </c>
    </row>
    <row r="3" spans="1:31">
      <c r="A3" s="97">
        <v>2</v>
      </c>
      <c r="B3" s="97" t="s">
        <v>18</v>
      </c>
      <c r="C3" s="97" t="s">
        <v>19</v>
      </c>
      <c r="D3" s="97" t="s">
        <v>20</v>
      </c>
      <c r="E3" s="97"/>
      <c r="F3" s="99"/>
      <c r="G3" s="99">
        <v>1</v>
      </c>
      <c r="H3" s="99" t="s">
        <v>21</v>
      </c>
      <c r="I3" s="99"/>
      <c r="J3">
        <v>3.1379999999999999</v>
      </c>
      <c r="K3" s="104">
        <f ca="1">SUMIFS('Registro chedar dinamico'!M:M,'Registro chedar dinamico'!A:A,$Z$1)</f>
        <v>0</v>
      </c>
      <c r="L3" s="104">
        <f ca="1">+Tabla1[[#This Row],[STOCK INICIAL]]-Tabla1[[#This Row],[STOCK OCUPADO]]</f>
        <v>3.1379999999999999</v>
      </c>
      <c r="Q3">
        <f t="shared" si="0"/>
        <v>3.1379999999999999</v>
      </c>
      <c r="S3">
        <v>6.23</v>
      </c>
      <c r="U3">
        <v>6.23</v>
      </c>
      <c r="W3">
        <v>6.23</v>
      </c>
      <c r="Y3">
        <v>1.5</v>
      </c>
      <c r="AA3">
        <v>1.5</v>
      </c>
      <c r="AC3">
        <v>1.5</v>
      </c>
      <c r="AE3" s="281">
        <v>1.1000000000000001</v>
      </c>
    </row>
    <row r="4" spans="1:31">
      <c r="A4" s="97">
        <v>3</v>
      </c>
      <c r="B4" s="97" t="s">
        <v>22</v>
      </c>
      <c r="C4" s="97" t="s">
        <v>23</v>
      </c>
      <c r="D4" s="97" t="s">
        <v>24</v>
      </c>
      <c r="E4" s="97" t="s">
        <v>25</v>
      </c>
      <c r="F4" s="99"/>
      <c r="G4" s="99">
        <v>1</v>
      </c>
      <c r="H4" s="99" t="s">
        <v>21</v>
      </c>
      <c r="I4" s="99"/>
      <c r="J4">
        <v>4</v>
      </c>
      <c r="K4" s="104">
        <f ca="1">SUMIFS('Registro chedar dinamico'!N:N,'Registro chedar dinamico'!A:A,$Z$1)</f>
        <v>0</v>
      </c>
      <c r="L4" s="104">
        <f ca="1">+Tabla1[[#This Row],[STOCK INICIAL]]-Tabla1[[#This Row],[STOCK OCUPADO]]</f>
        <v>4</v>
      </c>
      <c r="Q4">
        <f t="shared" si="0"/>
        <v>4</v>
      </c>
      <c r="S4">
        <v>1.68</v>
      </c>
      <c r="U4">
        <v>1.68</v>
      </c>
      <c r="W4">
        <v>1.68</v>
      </c>
      <c r="Y4">
        <v>1</v>
      </c>
      <c r="AA4">
        <v>1</v>
      </c>
      <c r="AC4">
        <v>1</v>
      </c>
      <c r="AE4" s="298">
        <v>0.95</v>
      </c>
    </row>
    <row r="5" spans="1:31">
      <c r="A5" s="97">
        <v>4</v>
      </c>
      <c r="B5" s="97" t="s">
        <v>26</v>
      </c>
      <c r="C5" s="97" t="s">
        <v>23</v>
      </c>
      <c r="D5" s="97" t="s">
        <v>24</v>
      </c>
      <c r="E5" s="97" t="s">
        <v>25</v>
      </c>
      <c r="F5" s="99"/>
      <c r="G5" s="99">
        <v>1</v>
      </c>
      <c r="H5" s="99" t="s">
        <v>21</v>
      </c>
      <c r="I5" s="99" t="s">
        <v>27</v>
      </c>
      <c r="J5">
        <v>1</v>
      </c>
      <c r="K5" s="104">
        <v>0</v>
      </c>
      <c r="L5" s="104">
        <f>+Tabla1[[#This Row],[STOCK INICIAL]]-Tabla1[[#This Row],[STOCK OCUPADO]]</f>
        <v>1</v>
      </c>
      <c r="Q5">
        <f t="shared" si="0"/>
        <v>1</v>
      </c>
      <c r="S5">
        <v>1</v>
      </c>
      <c r="U5">
        <v>1</v>
      </c>
      <c r="W5">
        <v>1</v>
      </c>
      <c r="Y5">
        <v>1</v>
      </c>
      <c r="AA5">
        <v>1</v>
      </c>
      <c r="AC5">
        <v>1</v>
      </c>
      <c r="AE5" s="281">
        <v>1</v>
      </c>
    </row>
    <row r="6" spans="1:31">
      <c r="A6" s="97">
        <v>5</v>
      </c>
      <c r="B6" s="97" t="s">
        <v>28</v>
      </c>
      <c r="C6" s="97" t="s">
        <v>23</v>
      </c>
      <c r="D6" s="97" t="s">
        <v>24</v>
      </c>
      <c r="E6" s="97" t="s">
        <v>29</v>
      </c>
      <c r="F6" s="99"/>
      <c r="G6" s="99">
        <v>5</v>
      </c>
      <c r="H6" s="99" t="s">
        <v>21</v>
      </c>
      <c r="I6" s="99">
        <v>0</v>
      </c>
      <c r="J6">
        <v>9</v>
      </c>
      <c r="K6" s="104">
        <f ca="1">SUMIFS('Registro chedar dinamico'!J:J,'Registro chedar dinamico'!A:A,$Z$1)</f>
        <v>0</v>
      </c>
      <c r="L6" s="104">
        <f ca="1">+Tabla1[[#This Row],[STOCK INICIAL]]-Tabla1[[#This Row],[STOCK OCUPADO]]</f>
        <v>9</v>
      </c>
      <c r="Q6">
        <f t="shared" si="0"/>
        <v>9</v>
      </c>
      <c r="S6">
        <v>10</v>
      </c>
      <c r="U6">
        <v>9.9499999999999993</v>
      </c>
      <c r="W6">
        <v>9.9149999999999991</v>
      </c>
      <c r="Y6">
        <v>9.9339999999999993</v>
      </c>
      <c r="AA6">
        <v>9.8989999999999991</v>
      </c>
      <c r="AC6">
        <v>9.8989999999999991</v>
      </c>
      <c r="AE6" s="298">
        <v>9.8689999999999998</v>
      </c>
    </row>
    <row r="7" spans="1:31">
      <c r="A7" s="97">
        <v>6</v>
      </c>
      <c r="B7" s="97" t="s">
        <v>30</v>
      </c>
      <c r="C7" s="97" t="s">
        <v>31</v>
      </c>
      <c r="D7" s="97" t="s">
        <v>24</v>
      </c>
      <c r="E7" s="97" t="s">
        <v>29</v>
      </c>
      <c r="F7" s="99"/>
      <c r="G7" s="99">
        <v>5</v>
      </c>
      <c r="H7" s="99" t="s">
        <v>21</v>
      </c>
      <c r="I7" s="99">
        <v>0</v>
      </c>
      <c r="J7">
        <v>8</v>
      </c>
      <c r="K7" s="104">
        <f ca="1">SUMIFS('Registro chedar dinamico'!H:H,'Registro chedar dinamico'!A:A,$Z$1)</f>
        <v>0</v>
      </c>
      <c r="L7" s="104">
        <f ca="1">+Tabla1[[#This Row],[STOCK INICIAL]]-Tabla1[[#This Row],[STOCK OCUPADO]]</f>
        <v>8</v>
      </c>
      <c r="Q7">
        <f t="shared" si="0"/>
        <v>8</v>
      </c>
      <c r="S7">
        <v>12</v>
      </c>
      <c r="U7">
        <v>11.61</v>
      </c>
      <c r="W7">
        <v>11.41</v>
      </c>
      <c r="Y7">
        <v>9.5719999999999992</v>
      </c>
      <c r="AA7">
        <v>9.2679999999999989</v>
      </c>
      <c r="AC7">
        <v>9.2679999999999989</v>
      </c>
      <c r="AE7" s="281">
        <v>8.9979999999999993</v>
      </c>
    </row>
    <row r="8" spans="1:31">
      <c r="A8" s="97">
        <v>7</v>
      </c>
      <c r="B8" s="97" t="s">
        <v>32</v>
      </c>
      <c r="C8" s="97" t="s">
        <v>14</v>
      </c>
      <c r="D8" s="97" t="s">
        <v>33</v>
      </c>
      <c r="E8" s="97" t="s">
        <v>34</v>
      </c>
      <c r="F8" s="99"/>
      <c r="G8" s="99">
        <v>10</v>
      </c>
      <c r="H8" s="99" t="s">
        <v>17</v>
      </c>
      <c r="I8" s="99">
        <v>0</v>
      </c>
      <c r="J8">
        <v>24.169</v>
      </c>
      <c r="K8" s="104">
        <f ca="1">SUMIFS('Registro chedar dinamico'!I:I,'Registro chedar dinamico'!A:A,$Z$1)</f>
        <v>0</v>
      </c>
      <c r="L8" s="104">
        <f ca="1">+Tabla1[[#This Row],[STOCK INICIAL]]-Tabla1[[#This Row],[STOCK OCUPADO]]</f>
        <v>24.169</v>
      </c>
      <c r="Q8">
        <f t="shared" si="0"/>
        <v>24.169</v>
      </c>
      <c r="S8">
        <v>24.18</v>
      </c>
      <c r="U8">
        <v>24.18</v>
      </c>
      <c r="W8">
        <v>24.18</v>
      </c>
      <c r="Y8">
        <v>22.83</v>
      </c>
      <c r="AA8">
        <v>22.83</v>
      </c>
      <c r="AC8">
        <v>22.83</v>
      </c>
      <c r="AE8" s="298">
        <v>22.805999999999997</v>
      </c>
    </row>
    <row r="9" spans="1:31">
      <c r="A9" s="97">
        <v>8</v>
      </c>
      <c r="B9" s="97" t="s">
        <v>35</v>
      </c>
      <c r="C9" s="97" t="s">
        <v>36</v>
      </c>
      <c r="D9" s="97" t="s">
        <v>37</v>
      </c>
      <c r="E9" s="97" t="s">
        <v>38</v>
      </c>
      <c r="F9" s="99"/>
      <c r="G9" s="99">
        <v>5</v>
      </c>
      <c r="H9" s="99" t="s">
        <v>21</v>
      </c>
      <c r="I9" s="99" t="s">
        <v>39</v>
      </c>
      <c r="J9">
        <v>5.25</v>
      </c>
      <c r="K9" s="104">
        <v>0</v>
      </c>
      <c r="L9" s="104">
        <f>+Tabla1[[#This Row],[STOCK INICIAL]]-Tabla1[[#This Row],[STOCK OCUPADO]]</f>
        <v>5.25</v>
      </c>
      <c r="Q9">
        <f t="shared" si="0"/>
        <v>5.25</v>
      </c>
      <c r="S9">
        <v>7</v>
      </c>
      <c r="U9">
        <v>7</v>
      </c>
      <c r="W9">
        <v>7</v>
      </c>
      <c r="Y9">
        <v>4</v>
      </c>
      <c r="AA9">
        <v>4</v>
      </c>
      <c r="AC9">
        <v>4</v>
      </c>
      <c r="AE9" s="281">
        <v>4</v>
      </c>
    </row>
    <row r="10" spans="1:31">
      <c r="A10" s="97">
        <v>9</v>
      </c>
      <c r="B10" s="97" t="s">
        <v>40</v>
      </c>
      <c r="C10" s="97" t="s">
        <v>14</v>
      </c>
      <c r="D10" s="97" t="s">
        <v>41</v>
      </c>
      <c r="E10" s="97" t="s">
        <v>42</v>
      </c>
      <c r="F10" s="99"/>
      <c r="G10" s="99">
        <v>50</v>
      </c>
      <c r="H10" s="99" t="s">
        <v>17</v>
      </c>
      <c r="I10" s="99" t="s">
        <v>39</v>
      </c>
      <c r="J10">
        <v>155.94999999999999</v>
      </c>
      <c r="K10" s="104">
        <f ca="1">SUMIFS('REGISTRO DULCE DINAMICO'!E:E,'REGISTRO DULCE DINAMICO'!A:A,$Z$1)</f>
        <v>0</v>
      </c>
      <c r="L10" s="104">
        <f ca="1">+Tabla1[[#This Row],[STOCK INICIAL]]-Tabla1[[#This Row],[STOCK OCUPADO]]</f>
        <v>155.94999999999999</v>
      </c>
      <c r="Q10">
        <f t="shared" si="0"/>
        <v>155.94999999999999</v>
      </c>
      <c r="S10">
        <v>83.53</v>
      </c>
      <c r="U10">
        <v>83.53</v>
      </c>
      <c r="W10">
        <v>83.53</v>
      </c>
      <c r="Y10">
        <v>81.594999999999999</v>
      </c>
      <c r="AA10">
        <v>81.594999999999999</v>
      </c>
      <c r="AC10">
        <v>81.594999999999999</v>
      </c>
      <c r="AE10" s="298">
        <v>80.599999999999994</v>
      </c>
    </row>
    <row r="11" spans="1:31">
      <c r="A11" s="97">
        <v>10</v>
      </c>
      <c r="B11" s="97" t="s">
        <v>43</v>
      </c>
      <c r="C11" s="97" t="s">
        <v>14</v>
      </c>
      <c r="D11" s="97" t="s">
        <v>41</v>
      </c>
      <c r="E11" s="97" t="s">
        <v>44</v>
      </c>
      <c r="F11" s="99"/>
      <c r="G11" s="99">
        <v>25</v>
      </c>
      <c r="H11" s="99" t="s">
        <v>17</v>
      </c>
      <c r="I11" s="99" t="s">
        <v>45</v>
      </c>
      <c r="J11">
        <v>28.175999999999998</v>
      </c>
      <c r="K11" s="104">
        <f ca="1">SUMIFS('REGISTRO DULCE DINAMICO'!C:C,'REGISTRO DULCE DINAMICO'!A:A,$Z$1)+SUMIFS('Registro chedar dinamico'!E:E,'Registro chedar dinamico'!A:A,$Z$1)</f>
        <v>0</v>
      </c>
      <c r="L11" s="104">
        <f ca="1">+Tabla1[[#This Row],[STOCK INICIAL]]-Tabla1[[#This Row],[STOCK OCUPADO]]</f>
        <v>28.175999999999998</v>
      </c>
      <c r="Q11">
        <f t="shared" si="0"/>
        <v>28.175999999999998</v>
      </c>
      <c r="S11">
        <v>9.02</v>
      </c>
      <c r="U11">
        <v>6.113999999999999</v>
      </c>
      <c r="W11">
        <v>4.6609999999999987</v>
      </c>
      <c r="Y11">
        <v>41.570999999999998</v>
      </c>
      <c r="AA11">
        <v>36.998999999999995</v>
      </c>
      <c r="AC11">
        <v>36.998999999999995</v>
      </c>
      <c r="AE11" s="281">
        <v>27.752999999999993</v>
      </c>
    </row>
    <row r="12" spans="1:31">
      <c r="A12" s="97">
        <v>11</v>
      </c>
      <c r="B12" s="97" t="s">
        <v>46</v>
      </c>
      <c r="C12" s="97" t="s">
        <v>14</v>
      </c>
      <c r="D12" s="97" t="s">
        <v>47</v>
      </c>
      <c r="E12" s="97" t="s">
        <v>48</v>
      </c>
      <c r="F12" s="99"/>
      <c r="G12" s="99">
        <v>50</v>
      </c>
      <c r="H12" s="99" t="s">
        <v>17</v>
      </c>
      <c r="I12" s="99" t="s">
        <v>45</v>
      </c>
      <c r="J12">
        <v>90.85</v>
      </c>
      <c r="K12" s="104">
        <f ca="1">SUMIFS('HILADO DINAMICO'!B:B,'HILADO DINAMICO'!A:A,$Z$1)</f>
        <v>0</v>
      </c>
      <c r="L12" s="104">
        <f ca="1">+Tabla1[[#This Row],[STOCK INICIAL]]-Tabla1[[#This Row],[STOCK OCUPADO]]</f>
        <v>90.85</v>
      </c>
      <c r="Q12">
        <f>IFERROR(J12-LOOKUP(2,1/('HILADO DINAMICO'!B:B&lt;&gt;""),'HILADO DINAMICO'!B:B),J12)</f>
        <v>90.85</v>
      </c>
      <c r="S12">
        <v>90.852000000000004</v>
      </c>
      <c r="U12">
        <v>90.852000000000004</v>
      </c>
      <c r="W12">
        <v>90.852000000000004</v>
      </c>
      <c r="Y12">
        <v>86.37</v>
      </c>
      <c r="AA12">
        <v>86.37</v>
      </c>
      <c r="AC12">
        <v>86.37</v>
      </c>
      <c r="AE12" s="298">
        <v>86.37</v>
      </c>
    </row>
    <row r="13" spans="1:31">
      <c r="A13" s="97">
        <v>12</v>
      </c>
      <c r="B13" s="97" t="s">
        <v>49</v>
      </c>
      <c r="C13" s="97" t="s">
        <v>14</v>
      </c>
      <c r="D13" s="97" t="s">
        <v>41</v>
      </c>
      <c r="E13" s="97" t="s">
        <v>50</v>
      </c>
      <c r="F13" s="99"/>
      <c r="G13" s="99">
        <v>50</v>
      </c>
      <c r="H13" s="99" t="s">
        <v>17</v>
      </c>
      <c r="I13" s="99">
        <v>0</v>
      </c>
      <c r="J13">
        <v>53.67</v>
      </c>
      <c r="K13" s="104">
        <f ca="1">SUMIFS('Registro chedar dinamico'!F:F,'Registro chedar dinamico'!A:A,$Z$1)</f>
        <v>0</v>
      </c>
      <c r="L13" s="104">
        <f ca="1">+Tabla1[[#This Row],[STOCK INICIAL]]-Tabla1[[#This Row],[STOCK OCUPADO]]</f>
        <v>53.67</v>
      </c>
      <c r="Q13">
        <f t="shared" ref="Q13:Q28" si="1">J13</f>
        <v>53.67</v>
      </c>
      <c r="S13">
        <v>76.3</v>
      </c>
      <c r="U13">
        <v>74.781999999999996</v>
      </c>
      <c r="W13">
        <v>74.022999999999996</v>
      </c>
      <c r="Y13">
        <v>55.505000000000003</v>
      </c>
      <c r="AA13">
        <v>53.125</v>
      </c>
      <c r="AC13">
        <v>53.125</v>
      </c>
      <c r="AE13" s="281">
        <v>51.935000000000002</v>
      </c>
    </row>
    <row r="14" spans="1:31">
      <c r="A14" s="97">
        <v>13</v>
      </c>
      <c r="B14" s="97" t="s">
        <v>51</v>
      </c>
      <c r="C14" s="97" t="s">
        <v>14</v>
      </c>
      <c r="D14" s="97" t="s">
        <v>33</v>
      </c>
      <c r="E14" s="97" t="s">
        <v>52</v>
      </c>
      <c r="F14" s="99"/>
      <c r="G14" s="99">
        <v>50</v>
      </c>
      <c r="H14" s="99" t="s">
        <v>17</v>
      </c>
      <c r="I14" s="99" t="s">
        <v>39</v>
      </c>
      <c r="J14">
        <v>358.45</v>
      </c>
      <c r="K14" s="104">
        <f ca="1">SUMIFS('CUAJADA DINAMICO'!D:D,'CUAJADA DINAMICO'!A:A,$Z$1)</f>
        <v>0</v>
      </c>
      <c r="L14" s="104">
        <f ca="1">+Tabla1[[#This Row],[STOCK INICIAL]]-Tabla1[[#This Row],[STOCK OCUPADO]]</f>
        <v>358.45</v>
      </c>
      <c r="Q14">
        <f t="shared" si="1"/>
        <v>358.45</v>
      </c>
      <c r="S14">
        <v>486.04</v>
      </c>
      <c r="U14">
        <v>486.04</v>
      </c>
      <c r="W14">
        <v>486.04</v>
      </c>
      <c r="Y14">
        <v>479.42</v>
      </c>
      <c r="AA14">
        <v>479.42</v>
      </c>
      <c r="AC14">
        <v>479.42</v>
      </c>
      <c r="AE14" s="298">
        <v>478.54</v>
      </c>
    </row>
    <row r="15" spans="1:31">
      <c r="A15" s="97">
        <v>14</v>
      </c>
      <c r="B15" s="97" t="s">
        <v>53</v>
      </c>
      <c r="C15" s="97" t="s">
        <v>14</v>
      </c>
      <c r="D15" s="97" t="s">
        <v>54</v>
      </c>
      <c r="E15" s="97" t="s">
        <v>55</v>
      </c>
      <c r="F15" s="99"/>
      <c r="G15" s="99">
        <v>10</v>
      </c>
      <c r="H15" s="99" t="s">
        <v>17</v>
      </c>
      <c r="I15" s="99">
        <v>0</v>
      </c>
      <c r="J15">
        <v>10.878</v>
      </c>
      <c r="K15" s="104">
        <f ca="1">SUMIFS('Registro chedar dinamico'!L:L,'Registro chedar dinamico'!A:A,$Z$1)</f>
        <v>0</v>
      </c>
      <c r="L15" s="104">
        <f ca="1">+Tabla1[[#This Row],[STOCK INICIAL]]-Tabla1[[#This Row],[STOCK OCUPADO]]</f>
        <v>10.878</v>
      </c>
      <c r="Q15">
        <f t="shared" si="1"/>
        <v>10.878</v>
      </c>
      <c r="S15">
        <v>10.672000000000001</v>
      </c>
      <c r="U15">
        <v>10.382000000000001</v>
      </c>
      <c r="W15">
        <v>10.237000000000002</v>
      </c>
      <c r="Y15">
        <v>8.532</v>
      </c>
      <c r="AA15">
        <v>8.0579999999999998</v>
      </c>
      <c r="AC15">
        <v>8.0579999999999998</v>
      </c>
      <c r="AE15" s="281">
        <v>7.8259999999999996</v>
      </c>
    </row>
    <row r="16" spans="1:31">
      <c r="A16" s="97">
        <v>15</v>
      </c>
      <c r="B16" s="97" t="s">
        <v>56</v>
      </c>
      <c r="C16" s="97" t="s">
        <v>36</v>
      </c>
      <c r="D16" s="97" t="s">
        <v>37</v>
      </c>
      <c r="E16" s="97" t="s">
        <v>57</v>
      </c>
      <c r="F16" s="99"/>
      <c r="G16" s="99">
        <v>20</v>
      </c>
      <c r="H16" s="99" t="s">
        <v>21</v>
      </c>
      <c r="I16" s="99" t="s">
        <v>45</v>
      </c>
      <c r="K16" s="104">
        <v>0</v>
      </c>
      <c r="L16" s="104">
        <f>+Tabla1[[#This Row],[STOCK INICIAL]]-Tabla1[[#This Row],[STOCK OCUPADO]]</f>
        <v>0</v>
      </c>
      <c r="Q16">
        <f t="shared" si="1"/>
        <v>0</v>
      </c>
      <c r="S16">
        <v>36</v>
      </c>
      <c r="U16">
        <v>36</v>
      </c>
      <c r="W16">
        <v>36</v>
      </c>
      <c r="Y16">
        <v>36</v>
      </c>
      <c r="AA16">
        <v>36</v>
      </c>
      <c r="AC16">
        <v>36</v>
      </c>
      <c r="AE16" s="298">
        <v>36</v>
      </c>
    </row>
    <row r="17" spans="1:50">
      <c r="A17" s="97">
        <v>16</v>
      </c>
      <c r="B17" s="97" t="s">
        <v>58</v>
      </c>
      <c r="C17" s="97" t="s">
        <v>14</v>
      </c>
      <c r="D17" s="97" t="s">
        <v>59</v>
      </c>
      <c r="E17" s="97" t="s">
        <v>60</v>
      </c>
      <c r="F17" s="99"/>
      <c r="G17" s="99">
        <v>25</v>
      </c>
      <c r="H17" s="99" t="s">
        <v>17</v>
      </c>
      <c r="I17" s="99">
        <v>-2</v>
      </c>
      <c r="J17">
        <v>21.9</v>
      </c>
      <c r="K17" s="104">
        <f ca="1">SUMIFS('Registro chedar dinamico'!D:D,'Registro chedar dinamico'!A:A,$Z$1)</f>
        <v>0</v>
      </c>
      <c r="L17" s="104">
        <f ca="1">+Tabla1[[#This Row],[STOCK INICIAL]]-Tabla1[[#This Row],[STOCK OCUPADO]]</f>
        <v>21.9</v>
      </c>
      <c r="Q17">
        <f t="shared" si="1"/>
        <v>21.9</v>
      </c>
      <c r="S17">
        <v>66.37</v>
      </c>
      <c r="U17">
        <v>63.464000000000006</v>
      </c>
      <c r="W17">
        <v>62.011000000000003</v>
      </c>
      <c r="Y17">
        <v>41.678999999999995</v>
      </c>
      <c r="AA17">
        <v>37.106999999999992</v>
      </c>
      <c r="AC17">
        <v>37.106999999999992</v>
      </c>
      <c r="AE17" s="281">
        <v>34.820999999999991</v>
      </c>
    </row>
    <row r="18" spans="1:50" hidden="1">
      <c r="A18" s="97">
        <v>17</v>
      </c>
      <c r="B18" s="97" t="s">
        <v>61</v>
      </c>
      <c r="C18" s="97" t="s">
        <v>23</v>
      </c>
      <c r="D18" s="97" t="s">
        <v>37</v>
      </c>
      <c r="E18" s="97" t="s">
        <v>57</v>
      </c>
      <c r="F18" s="99"/>
      <c r="G18" s="99">
        <v>2</v>
      </c>
      <c r="H18" s="99" t="s">
        <v>21</v>
      </c>
      <c r="I18" s="99" t="s">
        <v>62</v>
      </c>
      <c r="K18" s="104">
        <v>0</v>
      </c>
      <c r="L18" s="104">
        <f>+Tabla1[[#This Row],[STOCK INICIAL]]-Tabla1[[#This Row],[STOCK OCUPADO]]</f>
        <v>0</v>
      </c>
      <c r="Q18">
        <f t="shared" si="1"/>
        <v>0</v>
      </c>
      <c r="S18">
        <v>0.43</v>
      </c>
      <c r="U18">
        <v>0.43</v>
      </c>
      <c r="W18">
        <v>0.43</v>
      </c>
      <c r="Y18">
        <v>0.43</v>
      </c>
      <c r="AA18">
        <v>0.43</v>
      </c>
      <c r="AC18">
        <v>0.43</v>
      </c>
      <c r="AE18" s="281">
        <v>0.43</v>
      </c>
    </row>
    <row r="19" spans="1:50">
      <c r="A19" s="97">
        <v>18</v>
      </c>
      <c r="B19" s="97" t="s">
        <v>63</v>
      </c>
      <c r="C19" s="97" t="s">
        <v>64</v>
      </c>
      <c r="D19" s="97" t="s">
        <v>59</v>
      </c>
      <c r="E19" s="97" t="s">
        <v>65</v>
      </c>
      <c r="F19" s="99"/>
      <c r="G19" s="99">
        <v>1</v>
      </c>
      <c r="H19" s="99" t="s">
        <v>17</v>
      </c>
      <c r="I19" s="99" t="s">
        <v>66</v>
      </c>
      <c r="J19">
        <v>4.5030000000000001</v>
      </c>
      <c r="K19" s="104">
        <f ca="1">SUMIFS('REGISTRO DULCE DINAMICO'!D:D,'REGISTRO DULCE DINAMICO'!A:A,$Z$1)</f>
        <v>0</v>
      </c>
      <c r="L19" s="104">
        <f ca="1">+Tabla1[[#This Row],[STOCK INICIAL]]-Tabla1[[#This Row],[STOCK OCUPADO]]</f>
        <v>4.5030000000000001</v>
      </c>
      <c r="Q19">
        <f t="shared" si="1"/>
        <v>4.5030000000000001</v>
      </c>
      <c r="S19">
        <v>1.68</v>
      </c>
      <c r="U19">
        <v>1.68</v>
      </c>
      <c r="W19">
        <v>1.68</v>
      </c>
      <c r="Y19">
        <v>1.24</v>
      </c>
      <c r="AA19">
        <v>1.24</v>
      </c>
      <c r="AC19">
        <v>1.24</v>
      </c>
      <c r="AE19" s="298">
        <v>0.94</v>
      </c>
    </row>
    <row r="20" spans="1:50">
      <c r="A20" s="97">
        <v>19</v>
      </c>
      <c r="B20" s="97" t="s">
        <v>67</v>
      </c>
      <c r="C20" s="97" t="s">
        <v>14</v>
      </c>
      <c r="D20" s="97" t="s">
        <v>68</v>
      </c>
      <c r="E20" s="97"/>
      <c r="F20" s="99"/>
      <c r="G20" s="99">
        <v>10</v>
      </c>
      <c r="H20" s="99" t="s">
        <v>17</v>
      </c>
      <c r="I20" s="99" t="s">
        <v>69</v>
      </c>
      <c r="J20">
        <f>6.45+0.433</f>
        <v>6.883</v>
      </c>
      <c r="K20" s="104">
        <f ca="1">SUMIFS('Registro chedar dinamico'!K:K,'Registro chedar dinamico'!A:A,$Z$1)+SUMIFS('REGISTRO DULCE DINAMICO'!F:F,'REGISTRO DULCE DINAMICO'!A:A,$Z$1)</f>
        <v>0</v>
      </c>
      <c r="L20" s="104">
        <f ca="1">+Tabla1[[#This Row],[STOCK INICIAL]]-Tabla1[[#This Row],[STOCK OCUPADO]]</f>
        <v>6.883</v>
      </c>
      <c r="Q20">
        <f t="shared" si="1"/>
        <v>6.883</v>
      </c>
      <c r="S20">
        <v>14.19</v>
      </c>
      <c r="U20">
        <v>14.19</v>
      </c>
      <c r="W20">
        <v>14.19</v>
      </c>
      <c r="Y20">
        <v>12</v>
      </c>
      <c r="AA20">
        <v>12</v>
      </c>
      <c r="AC20">
        <v>12</v>
      </c>
      <c r="AE20" s="281">
        <v>11.596</v>
      </c>
    </row>
    <row r="21" spans="1:50" hidden="1">
      <c r="A21" s="100">
        <v>20</v>
      </c>
      <c r="B21" s="100" t="s">
        <v>70</v>
      </c>
      <c r="C21" s="100" t="s">
        <v>64</v>
      </c>
      <c r="D21" s="100" t="s">
        <v>41</v>
      </c>
      <c r="E21" s="100" t="s">
        <v>29</v>
      </c>
      <c r="F21" s="101"/>
      <c r="G21" s="102">
        <v>1</v>
      </c>
      <c r="H21" s="101" t="s">
        <v>17</v>
      </c>
      <c r="I21" s="101" t="s">
        <v>62</v>
      </c>
      <c r="K21" s="105">
        <v>0</v>
      </c>
      <c r="L21" s="104">
        <f>+Tabla1[[#This Row],[STOCK INICIAL]]-Tabla1[[#This Row],[STOCK OCUPADO]]</f>
        <v>0</v>
      </c>
      <c r="Q21">
        <f t="shared" si="1"/>
        <v>0</v>
      </c>
      <c r="S21">
        <v>0.47799999999999998</v>
      </c>
      <c r="U21">
        <v>0.47799999999999998</v>
      </c>
      <c r="W21">
        <v>0.47799999999999998</v>
      </c>
      <c r="Y21">
        <v>0.47799999999999998</v>
      </c>
      <c r="AA21">
        <v>0.47799999999999998</v>
      </c>
      <c r="AC21">
        <v>0.47799999999999998</v>
      </c>
      <c r="AE21" s="282">
        <v>0.47799999999999998</v>
      </c>
    </row>
    <row r="22" spans="1:50">
      <c r="A22" s="97">
        <v>21</v>
      </c>
      <c r="B22" s="97" t="s">
        <v>71</v>
      </c>
      <c r="C22" s="97" t="s">
        <v>72</v>
      </c>
      <c r="D22" s="97" t="s">
        <v>73</v>
      </c>
      <c r="E22" s="97" t="s">
        <v>74</v>
      </c>
      <c r="F22" s="99"/>
      <c r="G22" s="99">
        <v>0.5</v>
      </c>
      <c r="H22" s="99" t="s">
        <v>21</v>
      </c>
      <c r="I22" s="99" t="s">
        <v>45</v>
      </c>
      <c r="J22">
        <v>200</v>
      </c>
      <c r="K22" s="104">
        <f ca="1">SUMIFS('REGISTRO DULCE DINAMICO'!G:G,'REGISTRO DULCE DINAMICO'!A:A,$Z$1)</f>
        <v>0</v>
      </c>
      <c r="L22" s="104">
        <f ca="1">+Tabla1[[#This Row],[STOCK INICIAL]]-Tabla1[[#This Row],[STOCK OCUPADO]]</f>
        <v>200</v>
      </c>
      <c r="Q22">
        <f t="shared" si="1"/>
        <v>200</v>
      </c>
      <c r="S22">
        <v>0.28199999999999997</v>
      </c>
      <c r="U22">
        <v>0.28199999999999997</v>
      </c>
      <c r="W22">
        <v>0.28199999999999997</v>
      </c>
      <c r="Y22">
        <v>0.22900000000000001</v>
      </c>
      <c r="AA22">
        <v>0.22900000000000001</v>
      </c>
      <c r="AC22">
        <v>0.22900000000000001</v>
      </c>
      <c r="AE22" s="298">
        <v>0.217</v>
      </c>
    </row>
    <row r="23" spans="1:50">
      <c r="A23" s="97">
        <v>22</v>
      </c>
      <c r="B23" s="97" t="s">
        <v>629</v>
      </c>
      <c r="C23" s="97" t="s">
        <v>76</v>
      </c>
      <c r="D23" s="97"/>
      <c r="E23" s="97" t="s">
        <v>77</v>
      </c>
      <c r="F23" s="99"/>
      <c r="G23" s="99">
        <v>10</v>
      </c>
      <c r="H23" s="99" t="s">
        <v>17</v>
      </c>
      <c r="I23" s="99" t="s">
        <v>78</v>
      </c>
      <c r="J23">
        <v>16</v>
      </c>
      <c r="K23" s="104">
        <v>0</v>
      </c>
      <c r="L23" s="104">
        <f>+Tabla1[[#This Row],[STOCK INICIAL]]-Tabla1[[#This Row],[STOCK OCUPADO]]</f>
        <v>16</v>
      </c>
      <c r="Q23">
        <f t="shared" si="1"/>
        <v>16</v>
      </c>
      <c r="S23">
        <v>12.8</v>
      </c>
      <c r="U23">
        <v>12.8</v>
      </c>
      <c r="W23">
        <v>12.8</v>
      </c>
      <c r="Y23">
        <v>6</v>
      </c>
      <c r="AA23">
        <v>6</v>
      </c>
      <c r="AC23">
        <v>6</v>
      </c>
      <c r="AE23" s="281">
        <v>6</v>
      </c>
    </row>
    <row r="24" spans="1:50" s="96" customFormat="1" hidden="1">
      <c r="A24" s="100">
        <v>23</v>
      </c>
      <c r="B24" s="100" t="s">
        <v>79</v>
      </c>
      <c r="C24" s="100" t="s">
        <v>64</v>
      </c>
      <c r="D24" s="100" t="s">
        <v>80</v>
      </c>
      <c r="E24" s="100"/>
      <c r="F24" s="101"/>
      <c r="G24" s="101">
        <v>4</v>
      </c>
      <c r="H24" s="101" t="s">
        <v>17</v>
      </c>
      <c r="I24" s="101" t="s">
        <v>81</v>
      </c>
      <c r="J24"/>
      <c r="K24" s="105">
        <v>0</v>
      </c>
      <c r="L24" s="104">
        <f>+Tabla1[[#This Row],[STOCK INICIAL]]-Tabla1[[#This Row],[STOCK OCUPADO]]</f>
        <v>0</v>
      </c>
      <c r="Q24" s="96">
        <f t="shared" si="1"/>
        <v>0</v>
      </c>
      <c r="S24">
        <v>4</v>
      </c>
      <c r="T24"/>
      <c r="U24">
        <v>4</v>
      </c>
      <c r="V24"/>
      <c r="W24">
        <v>4</v>
      </c>
      <c r="X24"/>
      <c r="Y24">
        <v>4</v>
      </c>
      <c r="Z24"/>
      <c r="AA24">
        <v>4</v>
      </c>
      <c r="AB24"/>
      <c r="AC24">
        <v>4</v>
      </c>
      <c r="AD24"/>
      <c r="AE24" s="282">
        <v>4</v>
      </c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</row>
    <row r="25" spans="1:50" hidden="1">
      <c r="A25" s="100">
        <v>24</v>
      </c>
      <c r="B25" s="100" t="s">
        <v>82</v>
      </c>
      <c r="C25" s="100" t="s">
        <v>83</v>
      </c>
      <c r="D25" s="100" t="s">
        <v>73</v>
      </c>
      <c r="E25" s="100" t="s">
        <v>84</v>
      </c>
      <c r="F25" s="101"/>
      <c r="G25" s="101">
        <v>20</v>
      </c>
      <c r="H25" s="101" t="s">
        <v>21</v>
      </c>
      <c r="I25" s="101" t="s">
        <v>39</v>
      </c>
      <c r="K25" s="105">
        <v>0</v>
      </c>
      <c r="L25" s="104">
        <f>+Tabla1[[#This Row],[STOCK INICIAL]]-Tabla1[[#This Row],[STOCK OCUPADO]]</f>
        <v>0</v>
      </c>
      <c r="Q25">
        <f t="shared" si="1"/>
        <v>0</v>
      </c>
      <c r="S25">
        <v>20</v>
      </c>
      <c r="U25">
        <v>20</v>
      </c>
      <c r="W25">
        <v>20</v>
      </c>
      <c r="Y25">
        <v>20</v>
      </c>
      <c r="AA25">
        <v>20</v>
      </c>
      <c r="AC25">
        <v>20</v>
      </c>
      <c r="AE25" s="282">
        <v>20</v>
      </c>
    </row>
    <row r="26" spans="1:50" hidden="1">
      <c r="A26" s="100">
        <v>25</v>
      </c>
      <c r="B26" s="100" t="s">
        <v>85</v>
      </c>
      <c r="C26" s="100" t="s">
        <v>83</v>
      </c>
      <c r="D26" s="100" t="s">
        <v>73</v>
      </c>
      <c r="E26" s="100" t="s">
        <v>84</v>
      </c>
      <c r="F26" s="101"/>
      <c r="G26" s="101">
        <v>20</v>
      </c>
      <c r="H26" s="101" t="s">
        <v>21</v>
      </c>
      <c r="I26" s="101" t="s">
        <v>39</v>
      </c>
      <c r="K26" s="105">
        <v>0</v>
      </c>
      <c r="L26" s="104">
        <f>+Tabla1[[#This Row],[STOCK INICIAL]]-Tabla1[[#This Row],[STOCK OCUPADO]]</f>
        <v>0</v>
      </c>
      <c r="Q26">
        <f t="shared" si="1"/>
        <v>0</v>
      </c>
      <c r="S26">
        <v>20</v>
      </c>
      <c r="U26">
        <v>20</v>
      </c>
      <c r="W26">
        <v>20</v>
      </c>
      <c r="Y26">
        <v>20</v>
      </c>
      <c r="AA26">
        <v>20</v>
      </c>
      <c r="AC26">
        <v>20</v>
      </c>
      <c r="AE26" s="282">
        <v>20</v>
      </c>
    </row>
    <row r="27" spans="1:50" hidden="1">
      <c r="A27" s="100">
        <v>26</v>
      </c>
      <c r="B27" s="100" t="s">
        <v>86</v>
      </c>
      <c r="C27" s="100" t="s">
        <v>83</v>
      </c>
      <c r="D27" s="100" t="s">
        <v>73</v>
      </c>
      <c r="E27" s="100" t="s">
        <v>87</v>
      </c>
      <c r="F27" s="101"/>
      <c r="G27" s="101">
        <v>20</v>
      </c>
      <c r="H27" s="101" t="s">
        <v>17</v>
      </c>
      <c r="I27" s="101" t="s">
        <v>39</v>
      </c>
      <c r="K27" s="105">
        <v>0</v>
      </c>
      <c r="L27" s="104">
        <f>+Tabla1[[#This Row],[STOCK INICIAL]]-Tabla1[[#This Row],[STOCK OCUPADO]]</f>
        <v>0</v>
      </c>
      <c r="Q27">
        <f t="shared" si="1"/>
        <v>0</v>
      </c>
      <c r="S27">
        <v>20</v>
      </c>
      <c r="U27">
        <v>20</v>
      </c>
      <c r="W27">
        <v>20</v>
      </c>
      <c r="Y27">
        <v>20</v>
      </c>
      <c r="AA27">
        <v>20</v>
      </c>
      <c r="AC27">
        <v>20</v>
      </c>
      <c r="AE27" s="282">
        <v>20</v>
      </c>
    </row>
    <row r="28" spans="1:50">
      <c r="A28" s="97">
        <v>23</v>
      </c>
      <c r="B28" s="97" t="s">
        <v>88</v>
      </c>
      <c r="C28" s="97" t="s">
        <v>89</v>
      </c>
      <c r="D28" s="97"/>
      <c r="E28" s="97"/>
      <c r="F28" s="99"/>
      <c r="G28" s="99">
        <v>20</v>
      </c>
      <c r="H28" s="99" t="s">
        <v>17</v>
      </c>
      <c r="I28" s="99"/>
      <c r="K28" s="104">
        <f ca="1">SUMIFS('Registro chedar dinamico'!B:B,'Registro chedar dinamico'!A:A,$Z$1)</f>
        <v>0</v>
      </c>
      <c r="L28" s="104">
        <f ca="1">+Tabla1[[#This Row],[STOCK INICIAL]]-Tabla1[[#This Row],[STOCK OCUPADO]]</f>
        <v>0</v>
      </c>
      <c r="Q28">
        <f t="shared" si="1"/>
        <v>0</v>
      </c>
      <c r="S28">
        <v>40</v>
      </c>
      <c r="U28">
        <v>17.599999999999998</v>
      </c>
      <c r="W28">
        <v>7.1999999999999975</v>
      </c>
      <c r="Y28">
        <v>-7.600000000000005</v>
      </c>
      <c r="AA28">
        <v>-41.2</v>
      </c>
      <c r="AC28">
        <v>-41.2</v>
      </c>
      <c r="AE28" s="298">
        <v>-58</v>
      </c>
    </row>
    <row r="29" spans="1:50">
      <c r="A29" s="97">
        <v>28</v>
      </c>
      <c r="B29" s="97" t="s">
        <v>90</v>
      </c>
      <c r="C29" s="97" t="s">
        <v>91</v>
      </c>
      <c r="D29" s="97" t="s">
        <v>92</v>
      </c>
      <c r="E29" s="97" t="s">
        <v>93</v>
      </c>
      <c r="F29" s="99"/>
      <c r="G29" s="99">
        <v>50</v>
      </c>
      <c r="H29" s="99" t="s">
        <v>17</v>
      </c>
      <c r="I29" s="99" t="s">
        <v>643</v>
      </c>
      <c r="J29">
        <v>2700</v>
      </c>
      <c r="K29" s="104">
        <f ca="1">SUMIFS('REGISTRO DULCE DINAMICO'!B:B,'REGISTRO DULCE DINAMICO'!A:A,$Z$1)</f>
        <v>0</v>
      </c>
      <c r="L29" s="104">
        <f ca="1">+Tabla1[[#This Row],[STOCK INICIAL]]-Tabla1[[#This Row],[STOCK OCUPADO]]</f>
        <v>2700</v>
      </c>
      <c r="S29">
        <v>0</v>
      </c>
      <c r="U29">
        <v>0</v>
      </c>
      <c r="W29">
        <v>0</v>
      </c>
      <c r="Y29">
        <v>50</v>
      </c>
      <c r="AA29">
        <v>50</v>
      </c>
      <c r="AC29">
        <v>50</v>
      </c>
      <c r="AE29" s="281">
        <v>108</v>
      </c>
    </row>
    <row r="30" spans="1:50">
      <c r="A30" s="97">
        <v>29</v>
      </c>
      <c r="B30" s="97" t="s">
        <v>94</v>
      </c>
      <c r="C30" s="97" t="s">
        <v>95</v>
      </c>
      <c r="D30" s="97" t="s">
        <v>92</v>
      </c>
      <c r="E30" s="97"/>
      <c r="F30" s="99"/>
      <c r="G30" s="99">
        <v>0.17499999999999999</v>
      </c>
      <c r="H30" s="99" t="s">
        <v>17</v>
      </c>
      <c r="I30" s="99" t="s">
        <v>96</v>
      </c>
      <c r="J30">
        <v>0.25</v>
      </c>
      <c r="K30" s="104">
        <f ca="1">SUMIFS('CUAJADA DINAMICO'!B:B,'CUAJADA DINAMICO'!A:A,$Z$1)</f>
        <v>0</v>
      </c>
      <c r="L30" s="104">
        <f ca="1">+Tabla1[[#This Row],[STOCK INICIAL]]-Tabla1[[#This Row],[STOCK OCUPADO]]</f>
        <v>0.25</v>
      </c>
      <c r="S30">
        <v>0.1</v>
      </c>
      <c r="U30">
        <v>0.05</v>
      </c>
      <c r="W30">
        <v>0</v>
      </c>
      <c r="Y30">
        <v>0.22500000000000001</v>
      </c>
      <c r="AA30">
        <v>0.22500000000000001</v>
      </c>
      <c r="AC30">
        <v>0.22500000000000001</v>
      </c>
      <c r="AE30" s="298">
        <v>0.17499999999999999</v>
      </c>
    </row>
    <row r="31" spans="1:50">
      <c r="A31" s="97">
        <v>30</v>
      </c>
      <c r="B31" s="97" t="s">
        <v>97</v>
      </c>
      <c r="C31" s="97" t="s">
        <v>98</v>
      </c>
      <c r="D31" s="97" t="s">
        <v>92</v>
      </c>
      <c r="E31" s="97" t="s">
        <v>99</v>
      </c>
      <c r="F31" s="99"/>
      <c r="G31" s="99">
        <v>0.5</v>
      </c>
      <c r="H31" s="99" t="s">
        <v>17</v>
      </c>
      <c r="I31" s="99" t="s">
        <v>100</v>
      </c>
      <c r="J31">
        <v>1.242</v>
      </c>
      <c r="K31" s="104">
        <f ca="1">SUMIFS('CUAJADA DINAMICO'!C:C,'CUAJADA DINAMICO'!A:A,$Z$1)</f>
        <v>0</v>
      </c>
      <c r="L31" s="104">
        <f ca="1">+Tabla1[[#This Row],[STOCK INICIAL]]-Tabla1[[#This Row],[STOCK OCUPADO]]</f>
        <v>1.242</v>
      </c>
      <c r="S31">
        <v>1.395</v>
      </c>
      <c r="U31">
        <v>1.3534999999999999</v>
      </c>
      <c r="W31">
        <v>1.2774999999999999</v>
      </c>
      <c r="Y31">
        <v>0.86599999999999999</v>
      </c>
      <c r="AA31">
        <v>0.86599999999999999</v>
      </c>
      <c r="AC31">
        <v>0.86599999999999999</v>
      </c>
      <c r="AE31" s="299">
        <v>0.77600000000000002</v>
      </c>
    </row>
    <row r="32" spans="1:50">
      <c r="A32" s="97">
        <v>31</v>
      </c>
      <c r="B32" s="97" t="s">
        <v>632</v>
      </c>
      <c r="C32" s="97" t="s">
        <v>64</v>
      </c>
      <c r="D32" s="97" t="s">
        <v>92</v>
      </c>
      <c r="E32" s="97" t="s">
        <v>99</v>
      </c>
      <c r="F32" s="300"/>
      <c r="G32" s="300">
        <v>1.5</v>
      </c>
      <c r="H32" s="300" t="s">
        <v>17</v>
      </c>
      <c r="I32" s="300" t="s">
        <v>630</v>
      </c>
      <c r="J32" s="305">
        <v>3.4809999999999999</v>
      </c>
      <c r="K32" s="306">
        <f ca="1">SUMIFS('CUAJADA DINAMICO'!C:C,'CUAJADA DINAMICO'!A:A,$Z$1)</f>
        <v>0</v>
      </c>
      <c r="L32" s="104">
        <f ca="1">+Tabla1[[#This Row],[STOCK INICIAL]]-Tabla1[[#This Row],[STOCK OCUPADO]]</f>
        <v>3.4809999999999999</v>
      </c>
    </row>
    <row r="33" spans="1:12">
      <c r="A33" s="97">
        <v>32</v>
      </c>
      <c r="B33" s="97" t="s">
        <v>633</v>
      </c>
      <c r="C33" s="97" t="s">
        <v>64</v>
      </c>
      <c r="D33" s="97" t="s">
        <v>92</v>
      </c>
      <c r="E33" s="97" t="s">
        <v>99</v>
      </c>
      <c r="F33" s="300"/>
      <c r="G33" s="300">
        <v>2.5</v>
      </c>
      <c r="H33" s="300" t="s">
        <v>17</v>
      </c>
      <c r="I33" s="300" t="s">
        <v>631</v>
      </c>
      <c r="J33" s="305">
        <v>0.95399999999999996</v>
      </c>
      <c r="K33" s="306">
        <f ca="1">SUMIFS('CUAJADA DINAMICO'!C:C,'CUAJADA DINAMICO'!A:A,$Z$1)</f>
        <v>0</v>
      </c>
      <c r="L33" s="104">
        <f ca="1">+Tabla1[[#This Row],[STOCK INICIAL]]-Tabla1[[#This Row],[STOCK OCUPADO]]</f>
        <v>0.95399999999999996</v>
      </c>
    </row>
    <row r="34" spans="1:12">
      <c r="A34" s="97">
        <v>33</v>
      </c>
      <c r="B34" s="97" t="s">
        <v>634</v>
      </c>
      <c r="C34" s="97" t="s">
        <v>635</v>
      </c>
      <c r="D34" s="97"/>
      <c r="E34" s="97"/>
      <c r="F34" s="300"/>
      <c r="G34" s="300">
        <v>1</v>
      </c>
      <c r="H34" s="300"/>
      <c r="I34" s="300" t="s">
        <v>100</v>
      </c>
      <c r="J34" s="305">
        <v>0.38100000000000001</v>
      </c>
      <c r="K34" s="306">
        <f ca="1">SUMIFS('CUAJADA DINAMICO'!C:C,'CUAJADA DINAMICO'!A:A,$Z$1)</f>
        <v>0</v>
      </c>
      <c r="L34" s="300">
        <f ca="1">+Tabla1[[#This Row],[STOCK INICIAL]]-Tabla1[[#This Row],[STOCK OCUPADO]]</f>
        <v>0.38100000000000001</v>
      </c>
    </row>
    <row r="35" spans="1:12">
      <c r="A35" s="97">
        <v>34</v>
      </c>
      <c r="B35" s="97" t="s">
        <v>636</v>
      </c>
      <c r="C35" s="97" t="s">
        <v>64</v>
      </c>
      <c r="D35" s="97"/>
      <c r="E35" s="97"/>
      <c r="F35" s="300"/>
      <c r="G35" s="300">
        <v>1</v>
      </c>
      <c r="H35" s="300"/>
      <c r="I35" s="300" t="s">
        <v>100</v>
      </c>
      <c r="J35" s="305">
        <v>0.23400000000000001</v>
      </c>
      <c r="K35" s="306">
        <f ca="1">SUMIFS('CUAJADA DINAMICO'!C:C,'CUAJADA DINAMICO'!A:A,$Z$1)</f>
        <v>0</v>
      </c>
      <c r="L35" s="300">
        <f ca="1">+Tabla1[[#This Row],[STOCK INICIAL]]-Tabla1[[#This Row],[STOCK OCUPADO]]</f>
        <v>0.23400000000000001</v>
      </c>
    </row>
    <row r="36" spans="1:12">
      <c r="A36" s="97">
        <v>35</v>
      </c>
      <c r="B36" s="97" t="s">
        <v>637</v>
      </c>
      <c r="C36" s="97" t="s">
        <v>14</v>
      </c>
      <c r="D36" s="97"/>
      <c r="E36" s="97"/>
      <c r="F36" s="300"/>
      <c r="G36" s="300">
        <v>25</v>
      </c>
      <c r="H36" s="300"/>
      <c r="I36" s="300" t="s">
        <v>81</v>
      </c>
      <c r="J36" s="305">
        <f>16+1.092+25+25</f>
        <v>67.091999999999999</v>
      </c>
      <c r="K36" s="306">
        <f ca="1">SUMIFS('CUAJADA DINAMICO'!C:C,'CUAJADA DINAMICO'!A:A,$Z$1)</f>
        <v>0</v>
      </c>
      <c r="L36" s="300">
        <f ca="1">+Tabla1[[#This Row],[STOCK INICIAL]]-Tabla1[[#This Row],[STOCK OCUPADO]]</f>
        <v>67.091999999999999</v>
      </c>
    </row>
    <row r="37" spans="1:12">
      <c r="A37" s="97">
        <v>36</v>
      </c>
      <c r="B37" s="97" t="s">
        <v>638</v>
      </c>
      <c r="C37" s="97" t="s">
        <v>64</v>
      </c>
      <c r="D37" s="97"/>
      <c r="E37" s="97"/>
      <c r="F37" s="300"/>
      <c r="G37" s="300">
        <v>1</v>
      </c>
      <c r="H37" s="300"/>
      <c r="I37" s="300" t="s">
        <v>81</v>
      </c>
      <c r="J37" s="305">
        <v>0.76300000000000001</v>
      </c>
      <c r="K37" s="306">
        <f ca="1">SUMIFS('CUAJADA DINAMICO'!C:C,'CUAJADA DINAMICO'!A:A,$Z$1)</f>
        <v>0</v>
      </c>
      <c r="L37" s="300">
        <f ca="1">+Tabla1[[#This Row],[STOCK INICIAL]]-Tabla1[[#This Row],[STOCK OCUPADO]]</f>
        <v>0.76300000000000001</v>
      </c>
    </row>
    <row r="38" spans="1:12">
      <c r="A38" s="97">
        <v>37</v>
      </c>
      <c r="B38" s="97" t="s">
        <v>640</v>
      </c>
      <c r="C38" s="97" t="s">
        <v>639</v>
      </c>
      <c r="D38" s="97"/>
      <c r="E38" s="97"/>
      <c r="F38" s="300"/>
      <c r="G38" s="300">
        <v>1</v>
      </c>
      <c r="H38" s="300"/>
      <c r="I38" s="300" t="s">
        <v>81</v>
      </c>
      <c r="J38" s="305">
        <v>9</v>
      </c>
      <c r="K38" s="306">
        <f ca="1">SUMIFS('CUAJADA DINAMICO'!C:C,'CUAJADA DINAMICO'!A:A,$Z$1)</f>
        <v>0</v>
      </c>
      <c r="L38" s="300">
        <f ca="1">+Tabla1[[#This Row],[STOCK INICIAL]]-Tabla1[[#This Row],[STOCK OCUPADO]]</f>
        <v>9</v>
      </c>
    </row>
    <row r="39" spans="1:12">
      <c r="A39" s="97">
        <v>38</v>
      </c>
      <c r="B39" s="97" t="s">
        <v>641</v>
      </c>
      <c r="C39" s="97" t="s">
        <v>642</v>
      </c>
      <c r="D39" s="97"/>
      <c r="E39" s="97"/>
      <c r="F39" s="300"/>
      <c r="G39" s="300"/>
      <c r="H39" s="300"/>
      <c r="I39" s="300" t="s">
        <v>81</v>
      </c>
      <c r="J39" s="305">
        <v>5.3070000000000004</v>
      </c>
      <c r="K39" s="306">
        <f ca="1">SUMIFS('CUAJADA DINAMICO'!C:C,'CUAJADA DINAMICO'!A:A,$Z$1)</f>
        <v>0</v>
      </c>
      <c r="L39" s="300">
        <f ca="1">+Tabla1[[#This Row],[STOCK INICIAL]]-Tabla1[[#This Row],[STOCK OCUPADO]]</f>
        <v>5.3070000000000004</v>
      </c>
    </row>
  </sheetData>
  <phoneticPr fontId="36" type="noConversion"/>
  <conditionalFormatting sqref="M2:M39">
    <cfRule type="expression" dxfId="38" priority="1">
      <formula>$J2&gt;=$G2</formula>
    </cfRule>
    <cfRule type="expression" dxfId="37" priority="2">
      <formula>$J2&lt;$G2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8"/>
  <sheetViews>
    <sheetView zoomScale="81" zoomScaleNormal="81" workbookViewId="0">
      <selection sqref="A1:L28"/>
    </sheetView>
  </sheetViews>
  <sheetFormatPr baseColWidth="10" defaultColWidth="9.109375" defaultRowHeight="14.4"/>
  <cols>
    <col min="1" max="12" width="15.6640625" customWidth="1"/>
  </cols>
  <sheetData>
    <row r="1" spans="1:12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112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113</v>
      </c>
      <c r="I2" t="s">
        <v>8</v>
      </c>
      <c r="J2" t="s">
        <v>114</v>
      </c>
      <c r="K2" t="s">
        <v>10</v>
      </c>
      <c r="L2" t="s">
        <v>11</v>
      </c>
    </row>
    <row r="3" spans="1:12">
      <c r="A3">
        <v>1</v>
      </c>
      <c r="B3" t="s">
        <v>13</v>
      </c>
      <c r="C3" t="s">
        <v>64</v>
      </c>
      <c r="D3" t="s">
        <v>15</v>
      </c>
      <c r="E3" t="s">
        <v>16</v>
      </c>
      <c r="F3" s="95">
        <v>46128</v>
      </c>
      <c r="G3">
        <v>1</v>
      </c>
      <c r="H3" t="s">
        <v>17</v>
      </c>
      <c r="I3">
        <v>0</v>
      </c>
      <c r="J3">
        <v>0.28299999999999997</v>
      </c>
    </row>
    <row r="4" spans="1:12">
      <c r="A4">
        <v>2</v>
      </c>
      <c r="B4" t="s">
        <v>18</v>
      </c>
      <c r="C4" t="s">
        <v>23</v>
      </c>
      <c r="D4" t="s">
        <v>20</v>
      </c>
      <c r="F4" s="95">
        <v>46174</v>
      </c>
      <c r="G4">
        <v>1</v>
      </c>
      <c r="H4" t="s">
        <v>21</v>
      </c>
      <c r="I4">
        <v>0</v>
      </c>
      <c r="J4">
        <v>0.13</v>
      </c>
    </row>
    <row r="5" spans="1:12">
      <c r="A5">
        <v>3</v>
      </c>
      <c r="B5" t="s">
        <v>22</v>
      </c>
      <c r="C5" t="s">
        <v>23</v>
      </c>
      <c r="D5" t="s">
        <v>24</v>
      </c>
      <c r="E5" t="s">
        <v>25</v>
      </c>
      <c r="F5" s="95">
        <v>46296</v>
      </c>
      <c r="G5">
        <v>1</v>
      </c>
      <c r="H5" t="s">
        <v>21</v>
      </c>
      <c r="I5">
        <v>0</v>
      </c>
      <c r="J5">
        <v>0.9</v>
      </c>
    </row>
    <row r="6" spans="1:12">
      <c r="A6">
        <v>4</v>
      </c>
      <c r="B6" t="s">
        <v>26</v>
      </c>
      <c r="C6" t="s">
        <v>23</v>
      </c>
      <c r="D6" t="s">
        <v>24</v>
      </c>
      <c r="E6" t="s">
        <v>25</v>
      </c>
      <c r="F6" s="95">
        <v>46204</v>
      </c>
      <c r="G6">
        <v>1</v>
      </c>
      <c r="H6" t="s">
        <v>21</v>
      </c>
      <c r="I6" t="s">
        <v>27</v>
      </c>
      <c r="J6">
        <v>1</v>
      </c>
    </row>
    <row r="7" spans="1:12">
      <c r="A7">
        <v>5</v>
      </c>
      <c r="B7" t="s">
        <v>28</v>
      </c>
      <c r="C7" t="s">
        <v>23</v>
      </c>
      <c r="D7" t="s">
        <v>24</v>
      </c>
      <c r="E7" t="s">
        <v>29</v>
      </c>
      <c r="F7" s="95">
        <v>46227</v>
      </c>
      <c r="G7">
        <v>1</v>
      </c>
      <c r="H7" t="s">
        <v>21</v>
      </c>
      <c r="I7">
        <v>0</v>
      </c>
      <c r="J7">
        <v>0.8</v>
      </c>
    </row>
    <row r="8" spans="1:12">
      <c r="A8">
        <v>6</v>
      </c>
      <c r="B8" t="s">
        <v>30</v>
      </c>
      <c r="C8" t="s">
        <v>23</v>
      </c>
      <c r="D8" t="s">
        <v>24</v>
      </c>
      <c r="E8" t="s">
        <v>29</v>
      </c>
      <c r="G8">
        <v>1</v>
      </c>
      <c r="H8" t="s">
        <v>21</v>
      </c>
      <c r="I8">
        <v>0</v>
      </c>
      <c r="J8">
        <v>0.45</v>
      </c>
    </row>
    <row r="9" spans="1:12">
      <c r="A9">
        <v>7</v>
      </c>
      <c r="B9" t="s">
        <v>115</v>
      </c>
      <c r="C9" t="s">
        <v>14</v>
      </c>
      <c r="D9" t="s">
        <v>33</v>
      </c>
      <c r="E9" t="s">
        <v>116</v>
      </c>
      <c r="F9" s="95">
        <v>46795</v>
      </c>
      <c r="G9">
        <v>25</v>
      </c>
      <c r="H9" t="s">
        <v>17</v>
      </c>
      <c r="I9">
        <v>0</v>
      </c>
      <c r="J9">
        <v>23</v>
      </c>
    </row>
    <row r="10" spans="1:12">
      <c r="A10">
        <v>8</v>
      </c>
      <c r="B10" t="s">
        <v>35</v>
      </c>
      <c r="C10" t="s">
        <v>36</v>
      </c>
      <c r="D10" t="s">
        <v>37</v>
      </c>
      <c r="E10" t="s">
        <v>38</v>
      </c>
      <c r="F10" s="95">
        <v>46935</v>
      </c>
      <c r="G10">
        <v>10</v>
      </c>
      <c r="H10" t="s">
        <v>21</v>
      </c>
      <c r="I10" t="s">
        <v>39</v>
      </c>
      <c r="J10">
        <v>8</v>
      </c>
    </row>
    <row r="11" spans="1:12">
      <c r="A11">
        <v>9</v>
      </c>
      <c r="B11" t="s">
        <v>40</v>
      </c>
      <c r="C11" t="s">
        <v>14</v>
      </c>
      <c r="D11" t="s">
        <v>41</v>
      </c>
      <c r="E11" t="s">
        <v>42</v>
      </c>
      <c r="F11" s="95">
        <v>46558</v>
      </c>
      <c r="G11">
        <v>25</v>
      </c>
      <c r="H11" t="s">
        <v>17</v>
      </c>
      <c r="I11" t="s">
        <v>39</v>
      </c>
      <c r="J11">
        <v>21</v>
      </c>
    </row>
    <row r="12" spans="1:12">
      <c r="A12">
        <v>10</v>
      </c>
      <c r="B12" t="s">
        <v>43</v>
      </c>
      <c r="C12" t="s">
        <v>14</v>
      </c>
      <c r="D12" t="s">
        <v>41</v>
      </c>
      <c r="E12" t="s">
        <v>44</v>
      </c>
      <c r="F12" t="s">
        <v>117</v>
      </c>
      <c r="G12">
        <v>50</v>
      </c>
      <c r="H12" t="s">
        <v>17</v>
      </c>
      <c r="I12" t="s">
        <v>45</v>
      </c>
      <c r="J12">
        <v>29</v>
      </c>
    </row>
    <row r="13" spans="1:12">
      <c r="A13">
        <v>11</v>
      </c>
      <c r="B13" t="s">
        <v>46</v>
      </c>
      <c r="C13" t="s">
        <v>14</v>
      </c>
      <c r="D13" t="s">
        <v>47</v>
      </c>
      <c r="E13" t="s">
        <v>48</v>
      </c>
      <c r="F13" t="s">
        <v>118</v>
      </c>
      <c r="G13">
        <v>25</v>
      </c>
      <c r="H13" t="s">
        <v>17</v>
      </c>
      <c r="I13" t="s">
        <v>45</v>
      </c>
      <c r="J13">
        <v>25</v>
      </c>
    </row>
    <row r="14" spans="1:12">
      <c r="A14">
        <v>12</v>
      </c>
      <c r="B14" t="s">
        <v>49</v>
      </c>
      <c r="C14" t="s">
        <v>14</v>
      </c>
      <c r="D14" t="s">
        <v>41</v>
      </c>
      <c r="E14" t="s">
        <v>50</v>
      </c>
      <c r="F14" s="95">
        <v>46569</v>
      </c>
      <c r="G14">
        <v>50</v>
      </c>
      <c r="H14" t="s">
        <v>17</v>
      </c>
      <c r="I14">
        <v>0</v>
      </c>
      <c r="J14">
        <v>45</v>
      </c>
    </row>
    <row r="15" spans="1:12">
      <c r="A15">
        <v>13</v>
      </c>
      <c r="B15" t="s">
        <v>119</v>
      </c>
      <c r="C15" t="s">
        <v>14</v>
      </c>
      <c r="D15" t="s">
        <v>33</v>
      </c>
      <c r="E15" t="s">
        <v>52</v>
      </c>
      <c r="F15" s="95">
        <v>46350</v>
      </c>
      <c r="G15">
        <v>25</v>
      </c>
      <c r="H15" t="s">
        <v>17</v>
      </c>
      <c r="I15" t="s">
        <v>39</v>
      </c>
      <c r="J15">
        <v>24.3</v>
      </c>
    </row>
    <row r="16" spans="1:12">
      <c r="A16">
        <v>14</v>
      </c>
      <c r="B16" t="s">
        <v>53</v>
      </c>
      <c r="C16" t="s">
        <v>14</v>
      </c>
      <c r="D16" t="s">
        <v>54</v>
      </c>
      <c r="E16" t="s">
        <v>55</v>
      </c>
      <c r="F16" t="s">
        <v>117</v>
      </c>
      <c r="G16">
        <v>25</v>
      </c>
      <c r="H16" t="s">
        <v>17</v>
      </c>
      <c r="I16">
        <v>0</v>
      </c>
      <c r="J16">
        <v>22.4</v>
      </c>
    </row>
    <row r="17" spans="1:10">
      <c r="A17">
        <v>15</v>
      </c>
      <c r="B17" t="s">
        <v>56</v>
      </c>
      <c r="C17" t="s">
        <v>36</v>
      </c>
      <c r="D17" t="s">
        <v>37</v>
      </c>
      <c r="E17" t="s">
        <v>57</v>
      </c>
      <c r="F17" s="95">
        <v>46260</v>
      </c>
      <c r="G17">
        <v>40</v>
      </c>
      <c r="H17" t="s">
        <v>21</v>
      </c>
      <c r="I17" t="s">
        <v>45</v>
      </c>
      <c r="J17">
        <v>36</v>
      </c>
    </row>
    <row r="18" spans="1:10">
      <c r="A18">
        <v>16</v>
      </c>
      <c r="B18" t="s">
        <v>58</v>
      </c>
      <c r="C18" t="s">
        <v>14</v>
      </c>
      <c r="D18" t="s">
        <v>59</v>
      </c>
      <c r="E18" t="s">
        <v>60</v>
      </c>
      <c r="F18" t="s">
        <v>120</v>
      </c>
      <c r="G18">
        <v>25</v>
      </c>
      <c r="H18" t="s">
        <v>17</v>
      </c>
      <c r="I18">
        <v>-2</v>
      </c>
      <c r="J18">
        <v>18</v>
      </c>
    </row>
    <row r="19" spans="1:10">
      <c r="A19">
        <v>17</v>
      </c>
      <c r="B19" t="s">
        <v>61</v>
      </c>
      <c r="C19" t="s">
        <v>23</v>
      </c>
      <c r="D19" t="s">
        <v>37</v>
      </c>
      <c r="E19" t="s">
        <v>57</v>
      </c>
      <c r="F19" s="95">
        <v>46249</v>
      </c>
      <c r="G19">
        <v>1</v>
      </c>
      <c r="H19" t="s">
        <v>21</v>
      </c>
      <c r="I19" t="s">
        <v>62</v>
      </c>
      <c r="J19">
        <v>0.95</v>
      </c>
    </row>
    <row r="20" spans="1:10">
      <c r="A20">
        <v>18</v>
      </c>
      <c r="B20" t="s">
        <v>121</v>
      </c>
      <c r="C20" t="s">
        <v>64</v>
      </c>
      <c r="D20" t="s">
        <v>59</v>
      </c>
      <c r="E20" t="s">
        <v>65</v>
      </c>
      <c r="F20" s="95">
        <v>46406</v>
      </c>
      <c r="G20">
        <v>5</v>
      </c>
      <c r="H20" t="s">
        <v>17</v>
      </c>
      <c r="I20" t="s">
        <v>66</v>
      </c>
      <c r="J20">
        <v>4.5</v>
      </c>
    </row>
    <row r="21" spans="1:10">
      <c r="A21">
        <v>19</v>
      </c>
      <c r="B21" t="s">
        <v>122</v>
      </c>
      <c r="C21" t="s">
        <v>64</v>
      </c>
      <c r="D21" t="s">
        <v>41</v>
      </c>
      <c r="E21" t="s">
        <v>123</v>
      </c>
      <c r="F21" s="95">
        <v>46215</v>
      </c>
      <c r="G21">
        <v>1</v>
      </c>
      <c r="H21" t="s">
        <v>17</v>
      </c>
      <c r="I21" t="s">
        <v>69</v>
      </c>
      <c r="J21">
        <v>1</v>
      </c>
    </row>
    <row r="22" spans="1:10">
      <c r="A22">
        <v>20</v>
      </c>
      <c r="B22" t="s">
        <v>70</v>
      </c>
      <c r="C22" t="s">
        <v>64</v>
      </c>
      <c r="D22" t="s">
        <v>41</v>
      </c>
      <c r="E22" t="s">
        <v>29</v>
      </c>
      <c r="F22" s="95">
        <v>46425</v>
      </c>
      <c r="G22">
        <v>1</v>
      </c>
      <c r="H22" t="s">
        <v>17</v>
      </c>
      <c r="I22" t="s">
        <v>62</v>
      </c>
      <c r="J22">
        <v>0.47799999999999998</v>
      </c>
    </row>
    <row r="23" spans="1:10">
      <c r="A23">
        <v>21</v>
      </c>
      <c r="B23" t="s">
        <v>124</v>
      </c>
      <c r="C23" t="s">
        <v>125</v>
      </c>
      <c r="D23" t="s">
        <v>126</v>
      </c>
      <c r="E23" t="s">
        <v>127</v>
      </c>
      <c r="F23" s="95">
        <v>46204</v>
      </c>
      <c r="G23">
        <v>72</v>
      </c>
      <c r="H23" t="s">
        <v>17</v>
      </c>
      <c r="I23" t="s">
        <v>45</v>
      </c>
      <c r="J23">
        <v>72</v>
      </c>
    </row>
    <row r="24" spans="1:10">
      <c r="A24">
        <v>22</v>
      </c>
      <c r="B24" t="s">
        <v>128</v>
      </c>
      <c r="C24" t="s">
        <v>129</v>
      </c>
      <c r="D24" t="s">
        <v>130</v>
      </c>
      <c r="E24" t="s">
        <v>131</v>
      </c>
      <c r="F24" t="s">
        <v>117</v>
      </c>
      <c r="G24">
        <v>20</v>
      </c>
      <c r="H24" t="s">
        <v>17</v>
      </c>
      <c r="I24" t="s">
        <v>39</v>
      </c>
      <c r="J24">
        <v>20</v>
      </c>
    </row>
    <row r="25" spans="1:10">
      <c r="A25">
        <v>23</v>
      </c>
      <c r="B25" t="s">
        <v>79</v>
      </c>
      <c r="C25" t="s">
        <v>64</v>
      </c>
      <c r="D25" t="s">
        <v>80</v>
      </c>
      <c r="G25">
        <v>4</v>
      </c>
      <c r="H25" t="s">
        <v>17</v>
      </c>
      <c r="I25" t="s">
        <v>81</v>
      </c>
      <c r="J25">
        <v>4</v>
      </c>
    </row>
    <row r="26" spans="1:10">
      <c r="A26">
        <v>24</v>
      </c>
      <c r="B26" t="s">
        <v>82</v>
      </c>
      <c r="C26" t="s">
        <v>83</v>
      </c>
      <c r="D26" t="s">
        <v>73</v>
      </c>
      <c r="E26" t="s">
        <v>84</v>
      </c>
      <c r="F26" s="95">
        <v>46204</v>
      </c>
      <c r="G26">
        <v>20</v>
      </c>
      <c r="H26" t="s">
        <v>17</v>
      </c>
      <c r="I26" t="s">
        <v>39</v>
      </c>
      <c r="J26">
        <v>20</v>
      </c>
    </row>
    <row r="27" spans="1:10">
      <c r="A27">
        <v>25</v>
      </c>
      <c r="B27" t="s">
        <v>85</v>
      </c>
      <c r="C27" t="s">
        <v>83</v>
      </c>
      <c r="D27" t="s">
        <v>73</v>
      </c>
      <c r="E27" t="s">
        <v>84</v>
      </c>
      <c r="F27" s="95">
        <v>46225</v>
      </c>
      <c r="G27">
        <v>20</v>
      </c>
      <c r="H27" t="s">
        <v>17</v>
      </c>
      <c r="I27" t="s">
        <v>39</v>
      </c>
      <c r="J27">
        <v>20</v>
      </c>
    </row>
    <row r="28" spans="1:10">
      <c r="A28">
        <v>26</v>
      </c>
      <c r="B28" t="s">
        <v>86</v>
      </c>
      <c r="C28" t="s">
        <v>83</v>
      </c>
      <c r="D28" t="s">
        <v>73</v>
      </c>
      <c r="E28" t="s">
        <v>87</v>
      </c>
      <c r="F28" s="95">
        <v>46157</v>
      </c>
      <c r="G28">
        <v>20</v>
      </c>
      <c r="H28" t="s">
        <v>17</v>
      </c>
      <c r="I28" t="s">
        <v>39</v>
      </c>
      <c r="J28">
        <v>20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19"/>
  <sheetViews>
    <sheetView workbookViewId="0">
      <selection activeCell="D23" sqref="D23"/>
    </sheetView>
  </sheetViews>
  <sheetFormatPr baseColWidth="10" defaultColWidth="9.109375" defaultRowHeight="14.4"/>
  <cols>
    <col min="1" max="5" width="15.6640625" customWidth="1"/>
  </cols>
  <sheetData>
    <row r="2" spans="2:6">
      <c r="B2" s="308" t="s">
        <v>132</v>
      </c>
      <c r="C2" s="309"/>
      <c r="D2" s="309"/>
      <c r="E2" s="309"/>
      <c r="F2" s="310"/>
    </row>
    <row r="3" spans="2:6">
      <c r="B3" s="84" t="s">
        <v>133</v>
      </c>
      <c r="C3" s="84" t="s">
        <v>134</v>
      </c>
      <c r="D3" s="84" t="s">
        <v>135</v>
      </c>
      <c r="E3" s="84" t="s">
        <v>136</v>
      </c>
      <c r="F3" s="84" t="s">
        <v>137</v>
      </c>
    </row>
    <row r="4" spans="2:6">
      <c r="B4" s="85" t="s">
        <v>138</v>
      </c>
      <c r="C4" s="86">
        <v>0.50970000000000004</v>
      </c>
      <c r="D4" s="87">
        <f t="shared" ref="D4:D17" si="0">52*C4</f>
        <v>26.504400000000004</v>
      </c>
      <c r="E4" s="51">
        <f t="shared" ref="E4:E17" si="1">50*C4</f>
        <v>25.485000000000003</v>
      </c>
      <c r="F4" s="88">
        <f t="shared" ref="F4:F17" si="2">C4*104</f>
        <v>53.008800000000008</v>
      </c>
    </row>
    <row r="5" spans="2:6">
      <c r="B5" s="89" t="s">
        <v>139</v>
      </c>
      <c r="C5" s="90">
        <v>0.22339999999999999</v>
      </c>
      <c r="D5" s="91">
        <f t="shared" si="0"/>
        <v>11.6168</v>
      </c>
      <c r="E5" s="7">
        <f t="shared" si="1"/>
        <v>11.17</v>
      </c>
      <c r="F5" s="88">
        <f t="shared" si="2"/>
        <v>23.233599999999999</v>
      </c>
    </row>
    <row r="6" spans="2:6">
      <c r="B6" s="89" t="s">
        <v>140</v>
      </c>
      <c r="C6" s="90">
        <v>0.15398999999999999</v>
      </c>
      <c r="D6" s="91">
        <f t="shared" si="0"/>
        <v>8.0074799999999993</v>
      </c>
      <c r="E6" s="7">
        <f t="shared" si="1"/>
        <v>7.6994999999999996</v>
      </c>
      <c r="F6" s="92">
        <f t="shared" si="2"/>
        <v>16.014959999999999</v>
      </c>
    </row>
    <row r="7" spans="2:6">
      <c r="B7" s="89" t="s">
        <v>141</v>
      </c>
      <c r="C7" s="90">
        <v>2.794E-2</v>
      </c>
      <c r="D7" s="91">
        <f t="shared" si="0"/>
        <v>1.4528799999999999</v>
      </c>
      <c r="E7" s="7">
        <f t="shared" si="1"/>
        <v>1.397</v>
      </c>
      <c r="F7" s="88">
        <f t="shared" si="2"/>
        <v>2.9057599999999999</v>
      </c>
    </row>
    <row r="8" spans="2:6">
      <c r="B8" s="89" t="s">
        <v>142</v>
      </c>
      <c r="C8" s="90">
        <v>1.4590000000000001E-2</v>
      </c>
      <c r="D8" s="91">
        <f t="shared" si="0"/>
        <v>0.75868000000000002</v>
      </c>
      <c r="E8" s="7">
        <f t="shared" si="1"/>
        <v>0.72950000000000004</v>
      </c>
      <c r="F8" s="88">
        <f t="shared" si="2"/>
        <v>1.51736</v>
      </c>
    </row>
    <row r="9" spans="2:6">
      <c r="B9" s="89" t="s">
        <v>143</v>
      </c>
      <c r="C9" s="90">
        <v>2.794E-2</v>
      </c>
      <c r="D9" s="91">
        <f t="shared" si="0"/>
        <v>1.4528799999999999</v>
      </c>
      <c r="E9" s="7">
        <f t="shared" si="1"/>
        <v>1.397</v>
      </c>
      <c r="F9" s="88">
        <f t="shared" si="2"/>
        <v>2.9057599999999999</v>
      </c>
    </row>
    <row r="10" spans="2:6">
      <c r="B10" s="89" t="s">
        <v>144</v>
      </c>
      <c r="C10" s="90">
        <v>8.3800000000000003E-3</v>
      </c>
      <c r="D10" s="91">
        <f t="shared" si="0"/>
        <v>0.43576000000000004</v>
      </c>
      <c r="E10" s="7">
        <f t="shared" si="1"/>
        <v>0.41900000000000004</v>
      </c>
      <c r="F10" s="88">
        <f t="shared" si="2"/>
        <v>0.87152000000000007</v>
      </c>
    </row>
    <row r="11" spans="2:6">
      <c r="B11" s="89" t="s">
        <v>145</v>
      </c>
      <c r="C11" s="90">
        <v>1.9539999999999998E-2</v>
      </c>
      <c r="D11" s="91">
        <f t="shared" si="0"/>
        <v>1.0160799999999999</v>
      </c>
      <c r="E11" s="7">
        <f t="shared" si="1"/>
        <v>0.97699999999999987</v>
      </c>
      <c r="F11" s="88">
        <f t="shared" si="2"/>
        <v>2.0321599999999997</v>
      </c>
    </row>
    <row r="12" spans="2:6">
      <c r="B12" s="89" t="s">
        <v>146</v>
      </c>
      <c r="C12" s="90">
        <v>2.7899999999999999E-3</v>
      </c>
      <c r="D12" s="91">
        <f t="shared" si="0"/>
        <v>0.14507999999999999</v>
      </c>
      <c r="E12" s="7">
        <f t="shared" si="1"/>
        <v>0.13949999999999999</v>
      </c>
      <c r="F12" s="88">
        <f t="shared" si="2"/>
        <v>0.29015999999999997</v>
      </c>
    </row>
    <row r="13" spans="2:6">
      <c r="B13" s="89" t="s">
        <v>147</v>
      </c>
      <c r="C13" s="90">
        <v>4.1799999999999997E-3</v>
      </c>
      <c r="D13" s="91">
        <f t="shared" si="0"/>
        <v>0.21736</v>
      </c>
      <c r="E13" s="7">
        <f t="shared" si="1"/>
        <v>0.20899999999999999</v>
      </c>
      <c r="F13" s="88">
        <f t="shared" si="2"/>
        <v>0.43472</v>
      </c>
    </row>
    <row r="14" spans="2:6">
      <c r="B14" s="89" t="s">
        <v>148</v>
      </c>
      <c r="C14" s="90">
        <v>1.2700000000000001E-3</v>
      </c>
      <c r="D14" s="91">
        <f t="shared" si="0"/>
        <v>6.6040000000000001E-2</v>
      </c>
      <c r="E14" s="7">
        <f t="shared" si="1"/>
        <v>6.3500000000000001E-2</v>
      </c>
      <c r="F14" s="88">
        <f t="shared" si="2"/>
        <v>0.13208</v>
      </c>
    </row>
    <row r="15" spans="2:6">
      <c r="B15" s="89" t="s">
        <v>149</v>
      </c>
      <c r="C15" s="90">
        <v>2.7899999999999999E-3</v>
      </c>
      <c r="D15" s="91">
        <f t="shared" si="0"/>
        <v>0.14507999999999999</v>
      </c>
      <c r="E15" s="92">
        <f t="shared" si="1"/>
        <v>0.13949999999999999</v>
      </c>
      <c r="F15" s="88">
        <f t="shared" si="2"/>
        <v>0.29015999999999997</v>
      </c>
    </row>
    <row r="16" spans="2:6">
      <c r="B16" s="89" t="s">
        <v>150</v>
      </c>
      <c r="C16" s="90">
        <v>5.5900000000000004E-3</v>
      </c>
      <c r="D16" s="91">
        <f t="shared" si="0"/>
        <v>0.29067999999999999</v>
      </c>
      <c r="E16" s="92">
        <f t="shared" si="1"/>
        <v>0.27950000000000003</v>
      </c>
      <c r="F16" s="88">
        <f t="shared" si="2"/>
        <v>0.58135999999999999</v>
      </c>
    </row>
    <row r="17" spans="2:6">
      <c r="B17" s="89" t="s">
        <v>151</v>
      </c>
      <c r="C17" s="90">
        <v>1.4E-3</v>
      </c>
      <c r="D17" s="91">
        <f t="shared" si="0"/>
        <v>7.2800000000000004E-2</v>
      </c>
      <c r="E17" s="92">
        <f t="shared" si="1"/>
        <v>6.9999999999999993E-2</v>
      </c>
      <c r="F17" s="88">
        <f t="shared" si="2"/>
        <v>0.14560000000000001</v>
      </c>
    </row>
    <row r="18" spans="2:6">
      <c r="B18" s="89"/>
      <c r="C18" s="93"/>
      <c r="D18" s="91"/>
      <c r="E18" s="92"/>
      <c r="F18" s="7"/>
    </row>
    <row r="19" spans="2:6">
      <c r="B19" s="89" t="s">
        <v>152</v>
      </c>
      <c r="C19" s="94">
        <f>SUM(C4:C18)</f>
        <v>1.0035000000000001</v>
      </c>
      <c r="D19" s="91">
        <f>SUM(D4:D18)</f>
        <v>52.182000000000009</v>
      </c>
      <c r="E19" s="91">
        <f>SUM(E4:E18)</f>
        <v>50.17499999999999</v>
      </c>
      <c r="F19" s="91">
        <f>SUM(F4:F17)</f>
        <v>104.36400000000002</v>
      </c>
    </row>
  </sheetData>
  <mergeCells count="1">
    <mergeCell ref="B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selection activeCell="D19" sqref="D19"/>
    </sheetView>
  </sheetViews>
  <sheetFormatPr baseColWidth="10" defaultColWidth="9.109375" defaultRowHeight="14.4"/>
  <cols>
    <col min="1" max="5" width="15.6640625" customWidth="1"/>
  </cols>
  <sheetData>
    <row r="1" spans="1:5" ht="15.75" customHeight="1"/>
    <row r="2" spans="1:5" ht="15.75" customHeight="1">
      <c r="A2" s="311" t="s">
        <v>153</v>
      </c>
      <c r="B2" s="312"/>
      <c r="C2" s="312"/>
      <c r="D2" s="312"/>
      <c r="E2" s="313"/>
    </row>
    <row r="3" spans="1:5" ht="15.75" customHeight="1">
      <c r="A3" s="67" t="s">
        <v>133</v>
      </c>
      <c r="B3" s="68" t="s">
        <v>154</v>
      </c>
      <c r="C3" s="68" t="s">
        <v>155</v>
      </c>
      <c r="D3" s="68" t="s">
        <v>156</v>
      </c>
      <c r="E3" s="69" t="s">
        <v>157</v>
      </c>
    </row>
    <row r="4" spans="1:5" ht="15.75" customHeight="1">
      <c r="A4" s="70" t="s">
        <v>158</v>
      </c>
      <c r="B4" s="71"/>
      <c r="C4" s="72">
        <v>220</v>
      </c>
      <c r="D4" s="72">
        <v>240</v>
      </c>
      <c r="E4" s="73">
        <f>(C4/$C$11)*100</f>
        <v>100</v>
      </c>
    </row>
    <row r="5" spans="1:5" ht="27" customHeight="1">
      <c r="A5" s="74" t="s">
        <v>40</v>
      </c>
      <c r="B5" s="75" t="s">
        <v>159</v>
      </c>
      <c r="C5" s="76">
        <v>0.33</v>
      </c>
      <c r="D5" s="76">
        <v>0.36</v>
      </c>
      <c r="E5" s="73">
        <f>(C5/C11)*100</f>
        <v>0.15</v>
      </c>
    </row>
    <row r="6" spans="1:5" ht="15.75" customHeight="1">
      <c r="A6" s="74" t="s">
        <v>90</v>
      </c>
      <c r="B6" s="77">
        <v>0.21</v>
      </c>
      <c r="C6" s="76">
        <v>46.2</v>
      </c>
      <c r="D6" s="76">
        <v>50.4</v>
      </c>
      <c r="E6" s="73">
        <f>(C6/C11)*100</f>
        <v>21.000000000000004</v>
      </c>
    </row>
    <row r="7" spans="1:5" ht="15.75" customHeight="1">
      <c r="A7" s="74" t="s">
        <v>160</v>
      </c>
      <c r="B7" s="75" t="s">
        <v>161</v>
      </c>
      <c r="C7" s="76">
        <v>6.6000000000000003E-2</v>
      </c>
      <c r="D7" s="76">
        <v>7.1999999999999995E-2</v>
      </c>
      <c r="E7" s="73">
        <f>(C7/C11)*100</f>
        <v>3.0000000000000002E-2</v>
      </c>
    </row>
    <row r="8" spans="1:5" ht="27" customHeight="1">
      <c r="A8" s="74" t="s">
        <v>162</v>
      </c>
      <c r="B8" s="75" t="s">
        <v>163</v>
      </c>
      <c r="C8" s="76">
        <v>3.52</v>
      </c>
      <c r="D8" s="76">
        <v>3.84</v>
      </c>
      <c r="E8" s="73">
        <f>(C8/C11)*100</f>
        <v>1.6</v>
      </c>
    </row>
    <row r="9" spans="1:5" ht="15.75" customHeight="1">
      <c r="A9" s="74" t="s">
        <v>71</v>
      </c>
      <c r="B9" s="75" t="s">
        <v>164</v>
      </c>
      <c r="C9" s="76">
        <v>5.4999999999999997E-3</v>
      </c>
      <c r="D9" s="76">
        <v>6.0000000000000001E-3</v>
      </c>
      <c r="E9" s="73">
        <f>(C9/C11)*100</f>
        <v>2.4999999999999996E-3</v>
      </c>
    </row>
    <row r="10" spans="1:5" ht="15.75" customHeight="1">
      <c r="A10" s="74" t="s">
        <v>121</v>
      </c>
      <c r="B10" s="75" t="s">
        <v>165</v>
      </c>
      <c r="C10" s="76">
        <v>0.17655000000000001</v>
      </c>
      <c r="D10" s="76">
        <v>0.19259999999999999</v>
      </c>
      <c r="E10" s="73">
        <f>(C10/C11)*100</f>
        <v>8.0250000000000002E-2</v>
      </c>
    </row>
    <row r="11" spans="1:5" ht="15.75" customHeight="1">
      <c r="A11" s="78" t="s">
        <v>166</v>
      </c>
      <c r="B11" s="79"/>
      <c r="C11" s="80">
        <v>220</v>
      </c>
      <c r="D11" s="80"/>
      <c r="E11" s="79"/>
    </row>
    <row r="12" spans="1:5" ht="15.75" customHeight="1">
      <c r="A12" s="81"/>
      <c r="B12" s="81"/>
      <c r="C12" s="81"/>
      <c r="D12" s="81"/>
      <c r="E12" s="81"/>
    </row>
    <row r="13" spans="1:5" ht="15.75" customHeight="1">
      <c r="A13" s="311" t="s">
        <v>167</v>
      </c>
      <c r="B13" s="312"/>
      <c r="C13" s="312"/>
      <c r="D13" s="312"/>
      <c r="E13" s="313"/>
    </row>
    <row r="14" spans="1:5" ht="15.75" customHeight="1">
      <c r="A14" s="67" t="s">
        <v>133</v>
      </c>
      <c r="B14" s="68" t="s">
        <v>154</v>
      </c>
      <c r="C14" s="68" t="s">
        <v>155</v>
      </c>
      <c r="D14" s="68" t="s">
        <v>156</v>
      </c>
      <c r="E14" s="69" t="s">
        <v>157</v>
      </c>
    </row>
    <row r="15" spans="1:5" ht="27" customHeight="1">
      <c r="A15" s="74" t="s">
        <v>40</v>
      </c>
      <c r="B15" s="75" t="s">
        <v>168</v>
      </c>
      <c r="C15" s="75">
        <v>0.25519999999999998</v>
      </c>
      <c r="D15" s="75">
        <v>0.28000000000000003</v>
      </c>
      <c r="E15" s="82">
        <f t="shared" ref="E15:E20" si="0">(D15/240)*100</f>
        <v>0.11666666666666668</v>
      </c>
    </row>
    <row r="16" spans="1:5" ht="15.75" customHeight="1">
      <c r="A16" s="74" t="s">
        <v>90</v>
      </c>
      <c r="B16" s="77">
        <v>0.18</v>
      </c>
      <c r="C16" s="75">
        <v>39.6</v>
      </c>
      <c r="D16" s="75">
        <v>43.2</v>
      </c>
      <c r="E16" s="82">
        <f t="shared" si="0"/>
        <v>18.000000000000004</v>
      </c>
    </row>
    <row r="17" spans="1:5" ht="15.75" customHeight="1">
      <c r="A17" s="74" t="s">
        <v>160</v>
      </c>
      <c r="B17" s="75" t="s">
        <v>161</v>
      </c>
      <c r="C17" s="75">
        <v>6.6000000000000003E-2</v>
      </c>
      <c r="D17" s="75">
        <v>7.1999999999999995E-2</v>
      </c>
      <c r="E17" s="82">
        <f t="shared" si="0"/>
        <v>0.03</v>
      </c>
    </row>
    <row r="18" spans="1:5" ht="27" customHeight="1">
      <c r="A18" s="74" t="s">
        <v>162</v>
      </c>
      <c r="B18" s="75" t="s">
        <v>169</v>
      </c>
      <c r="C18" s="75">
        <v>1.76</v>
      </c>
      <c r="D18" s="75">
        <v>1.92</v>
      </c>
      <c r="E18" s="82">
        <f t="shared" si="0"/>
        <v>0.8</v>
      </c>
    </row>
    <row r="19" spans="1:5" ht="15.75" customHeight="1">
      <c r="A19" s="74" t="s">
        <v>71</v>
      </c>
      <c r="B19" s="75" t="s">
        <v>164</v>
      </c>
      <c r="C19" s="75">
        <v>5.4999999999999997E-3</v>
      </c>
      <c r="D19" s="75">
        <v>6.0000000000000001E-3</v>
      </c>
      <c r="E19" s="82">
        <f t="shared" si="0"/>
        <v>2.5000000000000001E-3</v>
      </c>
    </row>
    <row r="20" spans="1:5" ht="15.75" customHeight="1">
      <c r="A20" s="74" t="s">
        <v>75</v>
      </c>
      <c r="B20" s="77">
        <v>0.02</v>
      </c>
      <c r="C20" s="75">
        <v>4.4000000000000004</v>
      </c>
      <c r="D20" s="75">
        <v>4.8</v>
      </c>
      <c r="E20" s="82">
        <f t="shared" si="0"/>
        <v>2</v>
      </c>
    </row>
    <row r="21" spans="1:5">
      <c r="A21" s="83" t="s">
        <v>166</v>
      </c>
    </row>
  </sheetData>
  <mergeCells count="2">
    <mergeCell ref="A2:E2"/>
    <mergeCell ref="A13:E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W33"/>
  <sheetViews>
    <sheetView topLeftCell="AE1" zoomScale="80" zoomScaleNormal="80" workbookViewId="0">
      <selection activeCell="AT23" sqref="AT23"/>
    </sheetView>
  </sheetViews>
  <sheetFormatPr baseColWidth="10" defaultColWidth="9.109375" defaultRowHeight="14.4"/>
  <cols>
    <col min="1" max="48" width="15.6640625" customWidth="1"/>
  </cols>
  <sheetData>
    <row r="1" spans="1:49">
      <c r="A1" s="48"/>
      <c r="B1" s="48"/>
      <c r="C1" s="49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</row>
    <row r="2" spans="1:49">
      <c r="A2" s="48"/>
      <c r="B2" s="48"/>
      <c r="C2" s="49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</row>
    <row r="3" spans="1:49">
      <c r="A3" s="48"/>
      <c r="B3" s="48"/>
      <c r="C3" s="49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</row>
    <row r="4" spans="1:49">
      <c r="A4" s="48"/>
      <c r="B4" s="48"/>
      <c r="C4" s="49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</row>
    <row r="5" spans="1:49">
      <c r="A5" s="48"/>
      <c r="B5" s="314" t="s">
        <v>170</v>
      </c>
      <c r="C5" s="314" t="s">
        <v>171</v>
      </c>
      <c r="D5" s="314" t="s">
        <v>172</v>
      </c>
      <c r="E5" s="314" t="s">
        <v>173</v>
      </c>
      <c r="F5" s="310"/>
      <c r="G5" s="314" t="s">
        <v>174</v>
      </c>
      <c r="H5" s="309"/>
      <c r="I5" s="309"/>
      <c r="J5" s="309"/>
      <c r="K5" s="309"/>
      <c r="L5" s="309"/>
      <c r="M5" s="310"/>
      <c r="N5" s="314" t="s">
        <v>175</v>
      </c>
      <c r="O5" s="309"/>
      <c r="P5" s="309"/>
      <c r="Q5" s="310"/>
      <c r="R5" s="317" t="s">
        <v>176</v>
      </c>
      <c r="S5" s="309"/>
      <c r="T5" s="309"/>
      <c r="U5" s="309"/>
      <c r="V5" s="318" t="s">
        <v>177</v>
      </c>
      <c r="W5" s="309"/>
      <c r="X5" s="309"/>
      <c r="Y5" s="310"/>
      <c r="Z5" s="314" t="s">
        <v>178</v>
      </c>
      <c r="AA5" s="309"/>
      <c r="AB5" s="309"/>
      <c r="AC5" s="310"/>
      <c r="AD5" s="314" t="s">
        <v>179</v>
      </c>
      <c r="AE5" s="309"/>
      <c r="AF5" s="309"/>
      <c r="AG5" s="310"/>
      <c r="AH5" s="314" t="s">
        <v>180</v>
      </c>
      <c r="AI5" s="309"/>
      <c r="AJ5" s="309"/>
      <c r="AK5" s="310"/>
      <c r="AL5" s="314" t="s">
        <v>181</v>
      </c>
      <c r="AM5" s="309"/>
      <c r="AN5" s="309"/>
      <c r="AO5" s="310"/>
      <c r="AP5" s="314" t="s">
        <v>182</v>
      </c>
      <c r="AQ5" s="314" t="s">
        <v>183</v>
      </c>
      <c r="AR5" s="316" t="s">
        <v>184</v>
      </c>
      <c r="AS5" s="309"/>
      <c r="AT5" s="310"/>
      <c r="AU5" s="314" t="s">
        <v>185</v>
      </c>
      <c r="AV5" s="309"/>
      <c r="AW5" s="310"/>
    </row>
    <row r="6" spans="1:49" ht="30" customHeight="1">
      <c r="A6" s="48"/>
      <c r="B6" s="315"/>
      <c r="C6" s="315"/>
      <c r="D6" s="315"/>
      <c r="E6" s="50" t="s">
        <v>186</v>
      </c>
      <c r="F6" s="50" t="s">
        <v>187</v>
      </c>
      <c r="G6" s="50" t="s">
        <v>158</v>
      </c>
      <c r="H6" s="50" t="s">
        <v>90</v>
      </c>
      <c r="I6" s="50" t="s">
        <v>162</v>
      </c>
      <c r="J6" s="50" t="s">
        <v>188</v>
      </c>
      <c r="K6" s="50" t="s">
        <v>40</v>
      </c>
      <c r="L6" s="50" t="s">
        <v>160</v>
      </c>
      <c r="M6" s="50" t="s">
        <v>71</v>
      </c>
      <c r="N6" s="50" t="s">
        <v>185</v>
      </c>
      <c r="O6" s="50" t="s">
        <v>189</v>
      </c>
      <c r="P6" s="50" t="s">
        <v>190</v>
      </c>
      <c r="Q6" s="50" t="s">
        <v>191</v>
      </c>
      <c r="R6" s="50" t="s">
        <v>185</v>
      </c>
      <c r="S6" s="50" t="s">
        <v>189</v>
      </c>
      <c r="T6" s="50" t="s">
        <v>190</v>
      </c>
      <c r="U6" s="50" t="s">
        <v>191</v>
      </c>
      <c r="V6" s="50" t="s">
        <v>185</v>
      </c>
      <c r="W6" s="50" t="s">
        <v>189</v>
      </c>
      <c r="X6" s="50" t="s">
        <v>190</v>
      </c>
      <c r="Y6" s="50" t="s">
        <v>191</v>
      </c>
      <c r="Z6" s="50" t="s">
        <v>185</v>
      </c>
      <c r="AA6" s="50" t="s">
        <v>189</v>
      </c>
      <c r="AB6" s="50" t="s">
        <v>190</v>
      </c>
      <c r="AC6" s="50" t="s">
        <v>191</v>
      </c>
      <c r="AD6" s="50" t="s">
        <v>185</v>
      </c>
      <c r="AE6" s="50" t="s">
        <v>189</v>
      </c>
      <c r="AF6" s="50" t="s">
        <v>190</v>
      </c>
      <c r="AG6" s="50" t="s">
        <v>191</v>
      </c>
      <c r="AH6" s="50" t="s">
        <v>185</v>
      </c>
      <c r="AI6" s="50" t="s">
        <v>189</v>
      </c>
      <c r="AJ6" s="50" t="s">
        <v>190</v>
      </c>
      <c r="AK6" s="50" t="s">
        <v>191</v>
      </c>
      <c r="AL6" s="50" t="s">
        <v>185</v>
      </c>
      <c r="AM6" s="50" t="s">
        <v>189</v>
      </c>
      <c r="AN6" s="50" t="s">
        <v>190</v>
      </c>
      <c r="AO6" s="50" t="s">
        <v>191</v>
      </c>
      <c r="AP6" s="315"/>
      <c r="AQ6" s="315"/>
      <c r="AR6" s="50" t="s">
        <v>192</v>
      </c>
      <c r="AS6" s="50" t="s">
        <v>193</v>
      </c>
      <c r="AT6" s="50" t="s">
        <v>194</v>
      </c>
      <c r="AU6" s="50" t="s">
        <v>195</v>
      </c>
      <c r="AV6" s="50" t="s">
        <v>196</v>
      </c>
      <c r="AW6" s="50" t="s">
        <v>197</v>
      </c>
    </row>
    <row r="7" spans="1:49">
      <c r="A7" s="48"/>
      <c r="B7" s="52">
        <v>45898</v>
      </c>
      <c r="C7" s="53" t="s">
        <v>198</v>
      </c>
      <c r="D7" s="54" t="s">
        <v>199</v>
      </c>
      <c r="E7" s="33">
        <v>6.59</v>
      </c>
      <c r="F7" s="33">
        <v>15</v>
      </c>
      <c r="G7" s="33">
        <v>220</v>
      </c>
      <c r="H7" s="33">
        <v>46</v>
      </c>
      <c r="I7" s="33">
        <v>1.76</v>
      </c>
      <c r="J7" s="33" t="s">
        <v>200</v>
      </c>
      <c r="K7" s="33">
        <v>0.255</v>
      </c>
      <c r="L7" s="33">
        <v>6.6000000000000003E-2</v>
      </c>
      <c r="M7" s="33">
        <v>5.0000000000000001E-3</v>
      </c>
      <c r="N7" s="60">
        <v>0.44652777777777802</v>
      </c>
      <c r="O7" s="33">
        <v>40</v>
      </c>
      <c r="P7" s="33">
        <v>2.8</v>
      </c>
      <c r="Q7" s="33">
        <v>1.8</v>
      </c>
      <c r="R7" s="60">
        <v>0.46180555555555602</v>
      </c>
      <c r="S7" s="33">
        <v>53</v>
      </c>
      <c r="T7" s="33">
        <v>3.75</v>
      </c>
      <c r="U7" s="33">
        <v>2.8</v>
      </c>
      <c r="V7" s="33" t="s">
        <v>200</v>
      </c>
      <c r="W7" s="33" t="s">
        <v>200</v>
      </c>
      <c r="X7" s="33" t="s">
        <v>200</v>
      </c>
      <c r="Y7" s="33" t="s">
        <v>200</v>
      </c>
      <c r="Z7" s="33" t="s">
        <v>200</v>
      </c>
      <c r="AA7" s="33" t="s">
        <v>200</v>
      </c>
      <c r="AB7" s="33" t="s">
        <v>200</v>
      </c>
      <c r="AC7" s="33" t="s">
        <v>200</v>
      </c>
      <c r="AD7" s="33" t="s">
        <v>200</v>
      </c>
      <c r="AE7" s="33" t="s">
        <v>200</v>
      </c>
      <c r="AF7" s="33" t="s">
        <v>200</v>
      </c>
      <c r="AG7" s="33" t="s">
        <v>200</v>
      </c>
      <c r="AH7" s="33" t="s">
        <v>200</v>
      </c>
      <c r="AI7" s="33" t="s">
        <v>200</v>
      </c>
      <c r="AJ7" s="33" t="s">
        <v>200</v>
      </c>
      <c r="AK7" s="33" t="s">
        <v>200</v>
      </c>
      <c r="AL7" s="33" t="s">
        <v>200</v>
      </c>
      <c r="AM7" s="33">
        <v>71</v>
      </c>
      <c r="AN7" s="33" t="s">
        <v>200</v>
      </c>
      <c r="AO7" s="33" t="s">
        <v>200</v>
      </c>
      <c r="AP7" s="33">
        <v>97.6</v>
      </c>
      <c r="AQ7" s="65">
        <f t="shared" ref="AQ7:AQ15" si="0">AP7/G7</f>
        <v>0.44363636363636361</v>
      </c>
      <c r="AR7" s="33">
        <v>19.5</v>
      </c>
      <c r="AS7" s="33" t="s">
        <v>200</v>
      </c>
      <c r="AT7" s="33" t="s">
        <v>200</v>
      </c>
      <c r="AU7" s="60">
        <v>0.36805555555555602</v>
      </c>
      <c r="AV7" s="60">
        <v>0.40277777777777801</v>
      </c>
      <c r="AW7" s="33" t="s">
        <v>200</v>
      </c>
    </row>
    <row r="8" spans="1:49">
      <c r="A8" s="48"/>
      <c r="B8" s="52">
        <v>45909</v>
      </c>
      <c r="C8" s="53" t="s">
        <v>201</v>
      </c>
      <c r="D8" s="54" t="s">
        <v>199</v>
      </c>
      <c r="E8" s="33">
        <v>6.44</v>
      </c>
      <c r="F8" s="33">
        <v>16</v>
      </c>
      <c r="G8" s="33">
        <v>240</v>
      </c>
      <c r="H8" s="33">
        <v>50</v>
      </c>
      <c r="I8" s="33">
        <v>3.84</v>
      </c>
      <c r="J8" s="33">
        <v>0.192</v>
      </c>
      <c r="K8" s="33">
        <v>0.36</v>
      </c>
      <c r="L8" s="33">
        <v>7.1999999999999995E-2</v>
      </c>
      <c r="M8" s="33">
        <v>5.0000000000000001E-3</v>
      </c>
      <c r="N8" s="33" t="s">
        <v>200</v>
      </c>
      <c r="O8" s="33" t="s">
        <v>200</v>
      </c>
      <c r="P8" s="33" t="s">
        <v>200</v>
      </c>
      <c r="Q8" s="33" t="s">
        <v>200</v>
      </c>
      <c r="R8" s="33" t="s">
        <v>200</v>
      </c>
      <c r="S8" s="33" t="s">
        <v>200</v>
      </c>
      <c r="T8" s="33" t="s">
        <v>200</v>
      </c>
      <c r="U8" s="33" t="s">
        <v>200</v>
      </c>
      <c r="V8" s="60">
        <v>0.47222222222222199</v>
      </c>
      <c r="W8" s="33">
        <v>48</v>
      </c>
      <c r="X8" s="33">
        <v>3</v>
      </c>
      <c r="Y8" s="33">
        <v>2.2000000000000002</v>
      </c>
      <c r="Z8" s="33" t="s">
        <v>200</v>
      </c>
      <c r="AA8" s="33" t="s">
        <v>200</v>
      </c>
      <c r="AB8" s="33" t="s">
        <v>200</v>
      </c>
      <c r="AC8" s="33" t="s">
        <v>200</v>
      </c>
      <c r="AD8" s="33" t="s">
        <v>200</v>
      </c>
      <c r="AE8" s="33" t="s">
        <v>200</v>
      </c>
      <c r="AF8" s="33" t="s">
        <v>200</v>
      </c>
      <c r="AG8" s="33" t="s">
        <v>200</v>
      </c>
      <c r="AH8" s="33" t="s">
        <v>200</v>
      </c>
      <c r="AI8" s="33" t="s">
        <v>200</v>
      </c>
      <c r="AJ8" s="33" t="s">
        <v>200</v>
      </c>
      <c r="AK8" s="33" t="s">
        <v>200</v>
      </c>
      <c r="AL8" s="33" t="s">
        <v>200</v>
      </c>
      <c r="AM8" s="33" t="s">
        <v>200</v>
      </c>
      <c r="AN8" s="33" t="s">
        <v>200</v>
      </c>
      <c r="AO8" s="33" t="s">
        <v>200</v>
      </c>
      <c r="AP8" s="33">
        <v>97</v>
      </c>
      <c r="AQ8" s="65">
        <f t="shared" si="0"/>
        <v>0.40416666666666667</v>
      </c>
      <c r="AR8" s="33">
        <v>19</v>
      </c>
      <c r="AS8" s="33" t="s">
        <v>200</v>
      </c>
      <c r="AT8" s="33" t="s">
        <v>200</v>
      </c>
      <c r="AU8" s="60">
        <v>0.35416666666666702</v>
      </c>
      <c r="AV8" s="60">
        <v>0.38541666666666702</v>
      </c>
      <c r="AW8" s="33" t="s">
        <v>200</v>
      </c>
    </row>
    <row r="9" spans="1:49">
      <c r="A9" s="48"/>
      <c r="B9" s="52">
        <v>45910</v>
      </c>
      <c r="C9" s="53" t="s">
        <v>198</v>
      </c>
      <c r="D9" s="54" t="s">
        <v>199</v>
      </c>
      <c r="E9" s="33">
        <v>6.51</v>
      </c>
      <c r="F9" s="33">
        <v>16</v>
      </c>
      <c r="G9" s="33">
        <v>250</v>
      </c>
      <c r="H9" s="33">
        <v>52.5</v>
      </c>
      <c r="I9" s="33">
        <v>4</v>
      </c>
      <c r="J9" s="33" t="s">
        <v>200</v>
      </c>
      <c r="K9" s="33">
        <v>0.375</v>
      </c>
      <c r="L9" s="33" t="s">
        <v>200</v>
      </c>
      <c r="M9" s="33">
        <v>5.0000000000000001E-3</v>
      </c>
      <c r="N9" s="33" t="s">
        <v>200</v>
      </c>
      <c r="O9" s="33" t="s">
        <v>200</v>
      </c>
      <c r="P9" s="33" t="s">
        <v>200</v>
      </c>
      <c r="Q9" s="33" t="s">
        <v>200</v>
      </c>
      <c r="R9" s="33" t="s">
        <v>200</v>
      </c>
      <c r="S9" s="33" t="s">
        <v>200</v>
      </c>
      <c r="T9" s="33" t="s">
        <v>200</v>
      </c>
      <c r="U9" s="33" t="s">
        <v>200</v>
      </c>
      <c r="V9" s="33" t="s">
        <v>200</v>
      </c>
      <c r="W9" s="33" t="s">
        <v>200</v>
      </c>
      <c r="X9" s="33" t="s">
        <v>200</v>
      </c>
      <c r="Y9" s="33" t="s">
        <v>200</v>
      </c>
      <c r="Z9" s="33" t="s">
        <v>200</v>
      </c>
      <c r="AA9" s="33" t="s">
        <v>200</v>
      </c>
      <c r="AB9" s="33" t="s">
        <v>200</v>
      </c>
      <c r="AC9" s="33" t="s">
        <v>200</v>
      </c>
      <c r="AD9" s="33" t="s">
        <v>200</v>
      </c>
      <c r="AE9" s="33" t="s">
        <v>200</v>
      </c>
      <c r="AF9" s="33" t="s">
        <v>200</v>
      </c>
      <c r="AG9" s="33" t="s">
        <v>200</v>
      </c>
      <c r="AH9" s="33" t="s">
        <v>200</v>
      </c>
      <c r="AI9" s="33" t="s">
        <v>200</v>
      </c>
      <c r="AJ9" s="33" t="s">
        <v>200</v>
      </c>
      <c r="AK9" s="33" t="s">
        <v>200</v>
      </c>
      <c r="AL9" s="33" t="s">
        <v>200</v>
      </c>
      <c r="AM9" s="33" t="s">
        <v>200</v>
      </c>
      <c r="AN9" s="33" t="s">
        <v>200</v>
      </c>
      <c r="AO9" s="66" t="s">
        <v>200</v>
      </c>
      <c r="AP9" s="33">
        <v>125</v>
      </c>
      <c r="AQ9" s="65">
        <f t="shared" si="0"/>
        <v>0.5</v>
      </c>
      <c r="AR9" s="33">
        <v>25</v>
      </c>
      <c r="AS9" s="33" t="s">
        <v>200</v>
      </c>
      <c r="AT9" s="33" t="s">
        <v>200</v>
      </c>
      <c r="AU9" s="33" t="s">
        <v>200</v>
      </c>
      <c r="AV9" s="33" t="s">
        <v>200</v>
      </c>
      <c r="AW9" s="33" t="s">
        <v>200</v>
      </c>
    </row>
    <row r="10" spans="1:49">
      <c r="A10" s="48"/>
      <c r="B10" s="52">
        <v>45911</v>
      </c>
      <c r="C10" s="53" t="s">
        <v>201</v>
      </c>
      <c r="D10" s="54" t="s">
        <v>199</v>
      </c>
      <c r="E10" s="33" t="s">
        <v>200</v>
      </c>
      <c r="F10" s="33" t="s">
        <v>200</v>
      </c>
      <c r="G10" s="33">
        <v>240</v>
      </c>
      <c r="H10" s="33">
        <v>50</v>
      </c>
      <c r="I10" s="33">
        <v>3.82</v>
      </c>
      <c r="J10" s="33">
        <v>0.192</v>
      </c>
      <c r="K10" s="33">
        <v>0.36</v>
      </c>
      <c r="L10" s="33">
        <v>7.1999999999999995E-2</v>
      </c>
      <c r="M10" s="33">
        <v>5.0000000000000001E-3</v>
      </c>
      <c r="N10" s="60">
        <v>0.40625</v>
      </c>
      <c r="O10" s="33">
        <v>40</v>
      </c>
      <c r="P10" s="33" t="s">
        <v>202</v>
      </c>
      <c r="Q10" s="33">
        <v>1.5</v>
      </c>
      <c r="R10" s="60">
        <v>0.420833333333333</v>
      </c>
      <c r="S10" s="33">
        <v>48</v>
      </c>
      <c r="T10" s="33">
        <v>3.2</v>
      </c>
      <c r="U10" s="33">
        <v>1.5</v>
      </c>
      <c r="V10" s="60">
        <v>0.452083333333333</v>
      </c>
      <c r="W10" s="33" t="s">
        <v>203</v>
      </c>
      <c r="X10" s="33" t="s">
        <v>204</v>
      </c>
      <c r="Y10" s="33">
        <v>1.5</v>
      </c>
      <c r="Z10" s="60">
        <v>0.46458333333333302</v>
      </c>
      <c r="AA10" s="33">
        <v>60</v>
      </c>
      <c r="AB10" s="33" t="s">
        <v>205</v>
      </c>
      <c r="AC10" s="33">
        <v>1.5</v>
      </c>
      <c r="AD10" s="60">
        <v>0.47222222222222199</v>
      </c>
      <c r="AE10" s="33" t="s">
        <v>206</v>
      </c>
      <c r="AF10" s="33" t="s">
        <v>207</v>
      </c>
      <c r="AG10" s="33">
        <v>1.5</v>
      </c>
      <c r="AH10" s="60">
        <v>0.47847222222222202</v>
      </c>
      <c r="AI10" s="33" t="s">
        <v>208</v>
      </c>
      <c r="AJ10" s="33" t="s">
        <v>200</v>
      </c>
      <c r="AK10" s="33" t="s">
        <v>200</v>
      </c>
      <c r="AL10" s="60">
        <v>0.484027777777778</v>
      </c>
      <c r="AM10" s="33" t="s">
        <v>209</v>
      </c>
      <c r="AN10" s="33" t="s">
        <v>200</v>
      </c>
      <c r="AO10" s="66" t="s">
        <v>200</v>
      </c>
      <c r="AP10" s="33">
        <v>110</v>
      </c>
      <c r="AQ10" s="65">
        <f t="shared" si="0"/>
        <v>0.45833333333333331</v>
      </c>
      <c r="AR10" s="33">
        <v>22</v>
      </c>
      <c r="AS10" s="33" t="s">
        <v>200</v>
      </c>
      <c r="AT10" s="33" t="s">
        <v>200</v>
      </c>
      <c r="AU10" s="33" t="s">
        <v>200</v>
      </c>
      <c r="AV10" s="60">
        <v>0.36805555555555602</v>
      </c>
      <c r="AW10" s="60">
        <v>0.48611111111111099</v>
      </c>
    </row>
    <row r="11" spans="1:49">
      <c r="A11" s="48"/>
      <c r="B11" s="52">
        <v>45912</v>
      </c>
      <c r="C11" s="53" t="s">
        <v>201</v>
      </c>
      <c r="D11" s="54" t="s">
        <v>199</v>
      </c>
      <c r="E11" s="33">
        <v>6.54</v>
      </c>
      <c r="F11" s="33">
        <v>15</v>
      </c>
      <c r="G11" s="33">
        <v>240</v>
      </c>
      <c r="H11" s="33">
        <v>50</v>
      </c>
      <c r="I11" s="33">
        <v>3.82</v>
      </c>
      <c r="J11" s="33">
        <v>0.192</v>
      </c>
      <c r="K11" s="33">
        <v>0.36</v>
      </c>
      <c r="L11" s="33">
        <v>7.1999999999999995E-2</v>
      </c>
      <c r="M11" s="33">
        <v>5.0000000000000001E-3</v>
      </c>
      <c r="N11" s="60">
        <v>0.40625</v>
      </c>
      <c r="O11" s="33" t="s">
        <v>210</v>
      </c>
      <c r="P11" s="33" t="s">
        <v>211</v>
      </c>
      <c r="Q11" s="33">
        <v>1.5</v>
      </c>
      <c r="R11" s="60">
        <v>0.41666666666666702</v>
      </c>
      <c r="S11" s="33" t="s">
        <v>212</v>
      </c>
      <c r="T11" s="33" t="s">
        <v>213</v>
      </c>
      <c r="U11" s="33">
        <v>1</v>
      </c>
      <c r="V11" s="60">
        <v>0.44444444444444398</v>
      </c>
      <c r="W11" s="33" t="s">
        <v>214</v>
      </c>
      <c r="X11" s="33" t="s">
        <v>215</v>
      </c>
      <c r="Y11" s="33">
        <v>1.5</v>
      </c>
      <c r="Z11" s="63">
        <v>0.45833333333333298</v>
      </c>
      <c r="AA11" s="33" t="s">
        <v>216</v>
      </c>
      <c r="AB11" s="33">
        <v>2</v>
      </c>
      <c r="AC11" s="33">
        <v>1.5</v>
      </c>
      <c r="AD11" s="60">
        <v>0.46875</v>
      </c>
      <c r="AE11" s="33" t="s">
        <v>217</v>
      </c>
      <c r="AF11" s="33">
        <v>2</v>
      </c>
      <c r="AG11" s="33">
        <v>1.4</v>
      </c>
      <c r="AH11" s="60">
        <v>0.47569444444444398</v>
      </c>
      <c r="AI11" s="33" t="s">
        <v>218</v>
      </c>
      <c r="AJ11" s="33" t="s">
        <v>219</v>
      </c>
      <c r="AK11" s="33">
        <v>1.5</v>
      </c>
      <c r="AL11" s="33" t="s">
        <v>200</v>
      </c>
      <c r="AM11" s="33" t="s">
        <v>200</v>
      </c>
      <c r="AN11" s="33" t="s">
        <v>200</v>
      </c>
      <c r="AO11" s="66" t="s">
        <v>200</v>
      </c>
      <c r="AP11" s="33">
        <v>90</v>
      </c>
      <c r="AQ11" s="65">
        <f t="shared" si="0"/>
        <v>0.375</v>
      </c>
      <c r="AR11" s="33">
        <v>18</v>
      </c>
      <c r="AS11" s="33" t="s">
        <v>200</v>
      </c>
      <c r="AT11" s="33" t="s">
        <v>200</v>
      </c>
      <c r="AU11" s="60">
        <v>0.34027777777777801</v>
      </c>
      <c r="AV11" s="60">
        <v>0.375</v>
      </c>
      <c r="AW11" s="60">
        <v>0.47916666666666702</v>
      </c>
    </row>
    <row r="12" spans="1:49">
      <c r="A12" s="48"/>
      <c r="B12" s="52">
        <v>45913</v>
      </c>
      <c r="C12" s="53" t="s">
        <v>201</v>
      </c>
      <c r="D12" s="54" t="s">
        <v>199</v>
      </c>
      <c r="E12" s="33">
        <v>6.42</v>
      </c>
      <c r="F12" s="33">
        <v>15</v>
      </c>
      <c r="G12" s="33">
        <v>240</v>
      </c>
      <c r="H12" s="33">
        <v>50</v>
      </c>
      <c r="I12" s="33">
        <v>3.84</v>
      </c>
      <c r="J12" s="33">
        <v>0.192</v>
      </c>
      <c r="K12" s="33">
        <v>0.192</v>
      </c>
      <c r="L12" s="33">
        <v>7.1999999999999995E-2</v>
      </c>
      <c r="M12" s="33">
        <v>5.0000000000000001E-3</v>
      </c>
      <c r="N12" s="60">
        <v>0.39930555555555602</v>
      </c>
      <c r="O12" s="33" t="s">
        <v>220</v>
      </c>
      <c r="P12" s="33" t="s">
        <v>221</v>
      </c>
      <c r="Q12" s="33">
        <v>1.5</v>
      </c>
      <c r="R12" s="60">
        <v>0.40972222222222199</v>
      </c>
      <c r="S12" s="33" t="s">
        <v>222</v>
      </c>
      <c r="T12" s="62" t="s">
        <v>204</v>
      </c>
      <c r="U12" s="33">
        <v>1.5</v>
      </c>
      <c r="V12" s="60">
        <v>0.452083333333333</v>
      </c>
      <c r="W12" s="33" t="s">
        <v>223</v>
      </c>
      <c r="X12" s="33" t="s">
        <v>213</v>
      </c>
      <c r="Y12" s="33">
        <v>1.5</v>
      </c>
      <c r="Z12" s="60">
        <v>0.46666666666666701</v>
      </c>
      <c r="AA12" s="33" t="s">
        <v>224</v>
      </c>
      <c r="AB12" s="33" t="s">
        <v>225</v>
      </c>
      <c r="AC12" s="33">
        <v>1.5</v>
      </c>
      <c r="AD12" s="60">
        <v>0.47638888888888897</v>
      </c>
      <c r="AE12" s="33" t="s">
        <v>226</v>
      </c>
      <c r="AF12" s="62">
        <v>45692</v>
      </c>
      <c r="AG12" s="33">
        <v>1.5</v>
      </c>
      <c r="AH12" s="60">
        <v>0.484722222222222</v>
      </c>
      <c r="AI12" s="33" t="s">
        <v>227</v>
      </c>
      <c r="AJ12" s="33" t="s">
        <v>200</v>
      </c>
      <c r="AK12" s="33" t="s">
        <v>200</v>
      </c>
      <c r="AL12" s="60">
        <v>0.49305555555555602</v>
      </c>
      <c r="AM12" s="33" t="s">
        <v>228</v>
      </c>
      <c r="AN12" s="33" t="s">
        <v>200</v>
      </c>
      <c r="AO12" s="66" t="s">
        <v>200</v>
      </c>
      <c r="AP12" s="33">
        <v>100</v>
      </c>
      <c r="AQ12" s="65">
        <f t="shared" si="0"/>
        <v>0.41666666666666669</v>
      </c>
      <c r="AR12" s="33">
        <v>19</v>
      </c>
      <c r="AS12" s="33">
        <v>5</v>
      </c>
      <c r="AT12" s="33" t="s">
        <v>200</v>
      </c>
      <c r="AU12" s="60">
        <v>0.34722222222222199</v>
      </c>
      <c r="AV12" s="60">
        <v>0.36805555555555602</v>
      </c>
      <c r="AW12" s="60">
        <v>0.49513888888888902</v>
      </c>
    </row>
    <row r="13" spans="1:49">
      <c r="A13" s="48"/>
      <c r="B13" s="52">
        <v>45917</v>
      </c>
      <c r="C13" s="53" t="s">
        <v>198</v>
      </c>
      <c r="D13" s="54" t="s">
        <v>199</v>
      </c>
      <c r="E13" s="33">
        <v>6.61</v>
      </c>
      <c r="F13" s="33">
        <v>18</v>
      </c>
      <c r="G13" s="33">
        <v>240</v>
      </c>
      <c r="H13" s="33">
        <v>50</v>
      </c>
      <c r="I13" s="33">
        <v>1.92</v>
      </c>
      <c r="J13" s="33" t="s">
        <v>200</v>
      </c>
      <c r="K13" s="33">
        <v>0.28000000000000003</v>
      </c>
      <c r="L13" s="33">
        <v>7.1999999999999995E-2</v>
      </c>
      <c r="M13" s="33">
        <v>6.0000000000000001E-3</v>
      </c>
      <c r="N13" s="60">
        <v>0.40972222222222199</v>
      </c>
      <c r="O13" s="33">
        <v>37</v>
      </c>
      <c r="P13" s="33" t="s">
        <v>229</v>
      </c>
      <c r="Q13" s="33">
        <v>1.5</v>
      </c>
      <c r="R13" s="60">
        <v>0.4375</v>
      </c>
      <c r="S13" s="33">
        <v>51</v>
      </c>
      <c r="T13" s="33" t="s">
        <v>230</v>
      </c>
      <c r="U13" s="33">
        <v>1.6</v>
      </c>
      <c r="V13" s="60">
        <v>0.46180555555555602</v>
      </c>
      <c r="W13" s="33">
        <v>55</v>
      </c>
      <c r="X13" s="33" t="s">
        <v>231</v>
      </c>
      <c r="Y13" s="33">
        <v>1.5</v>
      </c>
      <c r="Z13" s="60">
        <v>0.49444444444444502</v>
      </c>
      <c r="AA13" s="33" t="s">
        <v>232</v>
      </c>
      <c r="AB13" s="33" t="s">
        <v>233</v>
      </c>
      <c r="AC13" s="33">
        <v>1.5</v>
      </c>
      <c r="AD13" s="60">
        <v>0.50277777777777799</v>
      </c>
      <c r="AE13" s="33" t="s">
        <v>234</v>
      </c>
      <c r="AF13" s="33" t="s">
        <v>200</v>
      </c>
      <c r="AG13" s="33" t="s">
        <v>200</v>
      </c>
      <c r="AH13" s="33" t="s">
        <v>200</v>
      </c>
      <c r="AI13" s="33" t="s">
        <v>200</v>
      </c>
      <c r="AJ13" s="33" t="s">
        <v>200</v>
      </c>
      <c r="AK13" s="33" t="s">
        <v>200</v>
      </c>
      <c r="AL13" s="33" t="s">
        <v>200</v>
      </c>
      <c r="AM13" s="33" t="s">
        <v>200</v>
      </c>
      <c r="AN13" s="33" t="s">
        <v>200</v>
      </c>
      <c r="AO13" s="33" t="s">
        <v>200</v>
      </c>
      <c r="AP13" s="33">
        <v>102.75</v>
      </c>
      <c r="AQ13" s="65">
        <f t="shared" si="0"/>
        <v>0.42812499999999998</v>
      </c>
      <c r="AR13" s="33">
        <v>11</v>
      </c>
      <c r="AS13" s="48">
        <v>4</v>
      </c>
      <c r="AT13" s="33">
        <v>175</v>
      </c>
      <c r="AU13" s="33" t="s">
        <v>200</v>
      </c>
      <c r="AV13" s="60">
        <v>0.36805555555555602</v>
      </c>
      <c r="AW13" s="60">
        <v>0.50486111111111098</v>
      </c>
    </row>
    <row r="14" spans="1:49">
      <c r="A14" s="48"/>
      <c r="B14" s="52">
        <v>45918</v>
      </c>
      <c r="C14" s="53" t="s">
        <v>201</v>
      </c>
      <c r="D14" s="54" t="s">
        <v>199</v>
      </c>
      <c r="E14" s="33">
        <v>6.56</v>
      </c>
      <c r="F14" s="33">
        <v>15</v>
      </c>
      <c r="G14" s="33">
        <v>244</v>
      </c>
      <c r="H14" s="33">
        <v>50</v>
      </c>
      <c r="I14" s="33">
        <v>3.84</v>
      </c>
      <c r="J14" s="33">
        <v>0.192</v>
      </c>
      <c r="K14" s="33">
        <v>0.36</v>
      </c>
      <c r="L14" s="33">
        <v>7.1999999999999995E-2</v>
      </c>
      <c r="M14" s="33">
        <v>5.0000000000000001E-3</v>
      </c>
      <c r="N14" s="60">
        <v>0.453472222222222</v>
      </c>
      <c r="O14" s="33" t="s">
        <v>235</v>
      </c>
      <c r="P14" s="33" t="s">
        <v>236</v>
      </c>
      <c r="Q14" s="33">
        <v>1.5</v>
      </c>
      <c r="R14" s="60">
        <v>0.48194444444444501</v>
      </c>
      <c r="S14" s="33" t="s">
        <v>237</v>
      </c>
      <c r="T14" s="33" t="s">
        <v>238</v>
      </c>
      <c r="U14" s="33">
        <v>1.5</v>
      </c>
      <c r="V14" s="60">
        <v>0.51736111111111105</v>
      </c>
      <c r="W14" s="33" t="s">
        <v>239</v>
      </c>
      <c r="X14" s="33" t="s">
        <v>238</v>
      </c>
      <c r="Y14" s="33">
        <v>1.5</v>
      </c>
      <c r="Z14" s="60">
        <v>0.53125</v>
      </c>
      <c r="AA14" s="33" t="s">
        <v>240</v>
      </c>
      <c r="AB14" s="33" t="s">
        <v>241</v>
      </c>
      <c r="AC14" s="33">
        <v>1.4</v>
      </c>
      <c r="AD14" s="60">
        <v>0.54236111111111096</v>
      </c>
      <c r="AE14" s="33" t="s">
        <v>242</v>
      </c>
      <c r="AF14" s="33" t="s">
        <v>243</v>
      </c>
      <c r="AG14" s="33">
        <v>1.3</v>
      </c>
      <c r="AH14" s="60">
        <v>0.55069444444444404</v>
      </c>
      <c r="AI14" s="33" t="s">
        <v>244</v>
      </c>
      <c r="AJ14" s="33" t="s">
        <v>245</v>
      </c>
      <c r="AK14" s="33">
        <v>1.5</v>
      </c>
      <c r="AL14" s="60">
        <v>0.51944444444444404</v>
      </c>
      <c r="AM14" s="33" t="s">
        <v>246</v>
      </c>
      <c r="AN14" s="33" t="s">
        <v>247</v>
      </c>
      <c r="AO14" s="66">
        <v>1.6</v>
      </c>
      <c r="AP14" s="33">
        <v>107</v>
      </c>
      <c r="AQ14" s="65">
        <f t="shared" si="0"/>
        <v>0.43852459016393441</v>
      </c>
      <c r="AR14" s="33">
        <v>20</v>
      </c>
      <c r="AS14" s="33">
        <v>7</v>
      </c>
      <c r="AT14" s="33" t="s">
        <v>200</v>
      </c>
      <c r="AU14" s="60">
        <v>0.375</v>
      </c>
      <c r="AV14" s="60">
        <v>0.41319444444444398</v>
      </c>
      <c r="AW14" s="60">
        <v>0.57013888888888897</v>
      </c>
    </row>
    <row r="15" spans="1:49">
      <c r="A15" s="48"/>
      <c r="B15" s="52">
        <v>45919</v>
      </c>
      <c r="C15" s="53" t="s">
        <v>201</v>
      </c>
      <c r="D15" s="54" t="s">
        <v>199</v>
      </c>
      <c r="E15" s="33">
        <v>6.57</v>
      </c>
      <c r="F15" s="33">
        <v>16</v>
      </c>
      <c r="G15" s="33">
        <v>245</v>
      </c>
      <c r="H15" s="33">
        <v>50</v>
      </c>
      <c r="I15" s="33">
        <v>3.84</v>
      </c>
      <c r="J15" s="33">
        <v>0.192</v>
      </c>
      <c r="K15" s="33">
        <v>0.36</v>
      </c>
      <c r="L15" s="33">
        <v>7.1999999999999995E-2</v>
      </c>
      <c r="M15" s="33">
        <v>5.0000000000000001E-3</v>
      </c>
      <c r="N15" s="60">
        <v>0.42013888888888901</v>
      </c>
      <c r="O15" s="33" t="s">
        <v>248</v>
      </c>
      <c r="P15" s="33" t="s">
        <v>249</v>
      </c>
      <c r="Q15" s="33">
        <v>1.5</v>
      </c>
      <c r="R15" s="60">
        <v>0.43402777777777801</v>
      </c>
      <c r="S15" s="33" t="s">
        <v>250</v>
      </c>
      <c r="T15" s="33">
        <v>3</v>
      </c>
      <c r="U15" s="33">
        <v>1.5</v>
      </c>
      <c r="V15" s="60">
        <v>0.452083333333333</v>
      </c>
      <c r="W15" s="33" t="s">
        <v>251</v>
      </c>
      <c r="X15" s="33" t="s">
        <v>252</v>
      </c>
      <c r="Y15" s="33">
        <v>1.3</v>
      </c>
      <c r="Z15" s="60">
        <v>0.46666666666666701</v>
      </c>
      <c r="AA15" s="33" t="s">
        <v>253</v>
      </c>
      <c r="AB15" s="33">
        <v>5</v>
      </c>
      <c r="AC15" s="33">
        <v>1.5</v>
      </c>
      <c r="AD15" s="60">
        <v>0.484027777777778</v>
      </c>
      <c r="AE15" s="33" t="s">
        <v>254</v>
      </c>
      <c r="AF15" s="33" t="s">
        <v>255</v>
      </c>
      <c r="AG15" s="33">
        <v>1.5</v>
      </c>
      <c r="AH15" s="60">
        <v>0.49166666666666697</v>
      </c>
      <c r="AI15" s="33" t="s">
        <v>256</v>
      </c>
      <c r="AJ15" s="33" t="s">
        <v>200</v>
      </c>
      <c r="AK15" s="33" t="s">
        <v>200</v>
      </c>
      <c r="AL15" s="60">
        <v>0.50347222222222199</v>
      </c>
      <c r="AM15" s="33" t="s">
        <v>257</v>
      </c>
      <c r="AN15" s="33">
        <v>3.5</v>
      </c>
      <c r="AO15" s="66">
        <v>1.5</v>
      </c>
      <c r="AP15" s="33">
        <v>100</v>
      </c>
      <c r="AQ15" s="65">
        <f t="shared" si="0"/>
        <v>0.40816326530612246</v>
      </c>
      <c r="AR15" s="33">
        <v>15</v>
      </c>
      <c r="AS15" s="33">
        <v>25</v>
      </c>
      <c r="AT15" s="33" t="s">
        <v>200</v>
      </c>
      <c r="AU15" s="60">
        <v>0.34722222222222199</v>
      </c>
      <c r="AV15" s="60">
        <v>0.374305555555556</v>
      </c>
      <c r="AW15" s="33" t="s">
        <v>200</v>
      </c>
    </row>
    <row r="16" spans="1:49">
      <c r="A16" s="48"/>
      <c r="B16" s="52">
        <v>45925</v>
      </c>
      <c r="C16" s="53" t="s">
        <v>201</v>
      </c>
      <c r="D16" s="54" t="s">
        <v>258</v>
      </c>
      <c r="E16" s="33">
        <v>6.57</v>
      </c>
      <c r="F16" s="33">
        <v>15</v>
      </c>
      <c r="G16" s="33">
        <v>241</v>
      </c>
      <c r="H16" s="33">
        <v>50</v>
      </c>
      <c r="I16" s="33">
        <v>3.84</v>
      </c>
      <c r="J16" s="33">
        <v>0.192</v>
      </c>
      <c r="K16" s="33">
        <v>0.36</v>
      </c>
      <c r="L16" s="33">
        <v>7.1999999999999995E-2</v>
      </c>
      <c r="M16" s="33">
        <v>5.0000000000000001E-3</v>
      </c>
      <c r="N16" s="60">
        <v>0.42916666666666697</v>
      </c>
      <c r="O16" s="33" t="s">
        <v>259</v>
      </c>
      <c r="P16" s="33" t="s">
        <v>260</v>
      </c>
      <c r="Q16" s="33">
        <v>1.5</v>
      </c>
      <c r="R16" s="60">
        <v>0.453472222222222</v>
      </c>
      <c r="S16" s="33" t="s">
        <v>261</v>
      </c>
      <c r="T16" s="33" t="s">
        <v>262</v>
      </c>
      <c r="U16" s="33">
        <v>1.5</v>
      </c>
      <c r="V16" s="60">
        <v>0.47499999999999998</v>
      </c>
      <c r="W16" s="33" t="s">
        <v>263</v>
      </c>
      <c r="X16" s="33">
        <v>1.9</v>
      </c>
      <c r="Y16" s="33">
        <v>1.6</v>
      </c>
      <c r="Z16" s="60">
        <v>0.50138888888888899</v>
      </c>
      <c r="AA16" s="33" t="s">
        <v>264</v>
      </c>
      <c r="AB16" s="33" t="s">
        <v>265</v>
      </c>
      <c r="AC16" s="33">
        <v>1.7</v>
      </c>
      <c r="AD16" s="60">
        <v>0.54097222222222197</v>
      </c>
      <c r="AE16" s="33" t="s">
        <v>266</v>
      </c>
      <c r="AF16" s="33" t="s">
        <v>200</v>
      </c>
      <c r="AG16" s="33" t="s">
        <v>200</v>
      </c>
      <c r="AH16" s="33" t="s">
        <v>200</v>
      </c>
      <c r="AI16" s="33" t="s">
        <v>200</v>
      </c>
      <c r="AJ16" s="33" t="s">
        <v>200</v>
      </c>
      <c r="AK16" s="33" t="s">
        <v>200</v>
      </c>
      <c r="AL16" s="33" t="s">
        <v>200</v>
      </c>
      <c r="AM16" s="33" t="s">
        <v>200</v>
      </c>
      <c r="AN16" s="33" t="s">
        <v>200</v>
      </c>
      <c r="AO16" s="66" t="s">
        <v>200</v>
      </c>
      <c r="AP16" s="33">
        <v>97</v>
      </c>
      <c r="AQ16" s="65">
        <f>AP16/G16</f>
        <v>0.40248962655601661</v>
      </c>
      <c r="AR16" s="33">
        <v>11</v>
      </c>
      <c r="AS16" s="33">
        <v>40</v>
      </c>
      <c r="AT16" s="33" t="s">
        <v>200</v>
      </c>
      <c r="AU16" s="60">
        <v>0.35416666666666702</v>
      </c>
      <c r="AV16" s="60">
        <v>0.38194444444444398</v>
      </c>
      <c r="AW16" s="33" t="s">
        <v>200</v>
      </c>
    </row>
    <row r="17" spans="1:49">
      <c r="A17" s="48"/>
      <c r="B17" s="55">
        <v>46063</v>
      </c>
      <c r="C17" s="56" t="s">
        <v>201</v>
      </c>
      <c r="D17" s="53"/>
      <c r="E17" s="57"/>
      <c r="F17" s="57">
        <v>16</v>
      </c>
      <c r="G17" s="57">
        <v>240</v>
      </c>
      <c r="H17" s="57">
        <v>40</v>
      </c>
      <c r="I17" s="57">
        <v>3.84</v>
      </c>
      <c r="J17" s="57">
        <v>0.15</v>
      </c>
      <c r="K17" s="57">
        <v>0.42799999999999999</v>
      </c>
      <c r="L17" s="57">
        <v>0.15</v>
      </c>
      <c r="M17" s="57">
        <v>6.0000000000000001E-3</v>
      </c>
      <c r="N17" s="61">
        <v>0.41666666666666669</v>
      </c>
      <c r="O17" s="57" t="s">
        <v>506</v>
      </c>
      <c r="P17" s="57">
        <v>2.6</v>
      </c>
      <c r="Q17" s="57">
        <v>2.1</v>
      </c>
      <c r="R17" s="61">
        <v>0.43055555555555558</v>
      </c>
      <c r="S17" s="57" t="s">
        <v>507</v>
      </c>
      <c r="T17" s="57">
        <v>2</v>
      </c>
      <c r="U17" s="57">
        <v>1.9</v>
      </c>
      <c r="V17" s="61">
        <v>0.44444444444444442</v>
      </c>
      <c r="W17" s="57" t="s">
        <v>508</v>
      </c>
      <c r="X17" s="57">
        <v>2.9</v>
      </c>
      <c r="Y17" s="57">
        <v>2.4</v>
      </c>
      <c r="Z17" s="61">
        <v>0.4861111111111111</v>
      </c>
      <c r="AA17" s="57" t="s">
        <v>509</v>
      </c>
      <c r="AB17" s="258"/>
      <c r="AC17" s="57">
        <v>1.5</v>
      </c>
      <c r="AD17" s="61">
        <v>0.48958333333333331</v>
      </c>
      <c r="AE17" s="57" t="s">
        <v>510</v>
      </c>
      <c r="AF17" s="259"/>
      <c r="AG17" s="57">
        <v>1.5</v>
      </c>
      <c r="AH17" s="57"/>
      <c r="AI17" s="57"/>
      <c r="AJ17" s="57"/>
      <c r="AK17" s="57"/>
      <c r="AL17" s="57"/>
      <c r="AM17" s="57"/>
      <c r="AN17" s="64"/>
      <c r="AO17" s="57"/>
      <c r="AP17" s="260">
        <v>105.5</v>
      </c>
      <c r="AQ17" s="65">
        <f>AP17/G17</f>
        <v>0.43958333333333333</v>
      </c>
      <c r="AR17" s="57">
        <v>21</v>
      </c>
      <c r="AS17" s="57" t="s">
        <v>200</v>
      </c>
      <c r="AT17" s="57">
        <v>2</v>
      </c>
      <c r="AU17" s="61">
        <v>0.3576388888888889</v>
      </c>
      <c r="AV17" s="61">
        <v>0.375</v>
      </c>
      <c r="AW17" s="58" t="s">
        <v>200</v>
      </c>
    </row>
    <row r="18" spans="1:49">
      <c r="A18" s="48"/>
      <c r="B18" s="261">
        <v>46064</v>
      </c>
      <c r="C18" s="59" t="s">
        <v>201</v>
      </c>
      <c r="D18" s="58"/>
      <c r="E18" s="58"/>
      <c r="F18" s="58">
        <v>17</v>
      </c>
      <c r="G18" s="58">
        <v>240</v>
      </c>
      <c r="H18" s="58">
        <v>46</v>
      </c>
      <c r="I18" s="58">
        <v>3.84</v>
      </c>
      <c r="J18" s="58">
        <v>0.15</v>
      </c>
      <c r="K18" s="58">
        <v>0.42899999999999999</v>
      </c>
      <c r="L18" s="58">
        <v>0.15</v>
      </c>
      <c r="M18" s="58">
        <v>6.0000000000000001E-3</v>
      </c>
      <c r="N18" s="63">
        <v>0.42708333333333331</v>
      </c>
      <c r="O18" s="58" t="s">
        <v>511</v>
      </c>
      <c r="P18" s="58" t="s">
        <v>512</v>
      </c>
      <c r="Q18" s="58">
        <v>2.1</v>
      </c>
      <c r="R18" s="63">
        <v>0.44097222222222227</v>
      </c>
      <c r="S18" s="58" t="s">
        <v>513</v>
      </c>
      <c r="T18" s="58" t="s">
        <v>512</v>
      </c>
      <c r="U18" s="58">
        <v>2.2000000000000002</v>
      </c>
      <c r="V18" s="63">
        <v>0.4548611111111111</v>
      </c>
      <c r="W18" s="58" t="s">
        <v>514</v>
      </c>
      <c r="X18" s="58" t="s">
        <v>515</v>
      </c>
      <c r="Y18" s="58">
        <v>2.1</v>
      </c>
      <c r="Z18" s="63">
        <v>0.46875</v>
      </c>
      <c r="AA18" s="58" t="s">
        <v>516</v>
      </c>
      <c r="AB18" s="58" t="s">
        <v>517</v>
      </c>
      <c r="AC18" s="58">
        <v>2.1</v>
      </c>
      <c r="AD18" s="63">
        <v>0.4826388888888889</v>
      </c>
      <c r="AE18" s="58" t="s">
        <v>518</v>
      </c>
      <c r="AF18" s="58" t="s">
        <v>519</v>
      </c>
      <c r="AG18" s="58">
        <v>2.5</v>
      </c>
      <c r="AH18" s="63">
        <v>0.48958333333333331</v>
      </c>
      <c r="AI18" s="58">
        <v>71</v>
      </c>
      <c r="AJ18" s="58" t="s">
        <v>520</v>
      </c>
      <c r="AK18" s="58">
        <v>2.8</v>
      </c>
      <c r="AL18" s="63">
        <v>0.51388888888888895</v>
      </c>
      <c r="AM18" s="58" t="s">
        <v>521</v>
      </c>
      <c r="AN18" s="58" t="s">
        <v>522</v>
      </c>
      <c r="AO18" s="58">
        <v>1.5</v>
      </c>
      <c r="AP18" s="58">
        <v>103.7</v>
      </c>
      <c r="AQ18" s="262">
        <f>AP18/G18</f>
        <v>0.43208333333333332</v>
      </c>
      <c r="AR18" s="58">
        <v>20</v>
      </c>
      <c r="AS18" s="58"/>
      <c r="AT18" s="58"/>
      <c r="AU18" s="63">
        <v>0.3576388888888889</v>
      </c>
      <c r="AV18" s="63">
        <v>0.38541666666666669</v>
      </c>
      <c r="AW18" s="48"/>
    </row>
    <row r="19" spans="1:49">
      <c r="A19" s="48"/>
      <c r="B19" s="261">
        <v>46067</v>
      </c>
      <c r="C19" s="59" t="s">
        <v>201</v>
      </c>
      <c r="D19" s="58"/>
      <c r="E19" s="58"/>
      <c r="F19" s="58">
        <v>17</v>
      </c>
      <c r="G19" s="58">
        <v>250</v>
      </c>
      <c r="H19" s="58">
        <v>46</v>
      </c>
      <c r="I19" s="58">
        <v>3.84</v>
      </c>
      <c r="J19" s="58">
        <v>0.15</v>
      </c>
      <c r="K19" s="58">
        <v>0.52300000000000002</v>
      </c>
      <c r="L19" s="58">
        <v>0.15</v>
      </c>
      <c r="M19" s="58">
        <v>6.0000000000000001E-3</v>
      </c>
      <c r="N19" s="63">
        <v>0.57986111111111105</v>
      </c>
      <c r="O19" s="58" t="s">
        <v>523</v>
      </c>
      <c r="P19" s="58" t="s">
        <v>524</v>
      </c>
      <c r="Q19" s="58">
        <v>2</v>
      </c>
      <c r="R19" s="63">
        <v>0.59375</v>
      </c>
      <c r="S19" s="58" t="s">
        <v>525</v>
      </c>
      <c r="T19" s="58" t="s">
        <v>526</v>
      </c>
      <c r="U19" s="58">
        <v>2.2000000000000002</v>
      </c>
      <c r="V19" s="63">
        <v>0.60763888888888895</v>
      </c>
      <c r="W19" s="58" t="s">
        <v>508</v>
      </c>
      <c r="X19" s="58" t="s">
        <v>527</v>
      </c>
      <c r="Y19" s="58">
        <v>2.5</v>
      </c>
      <c r="Z19" s="63">
        <v>0.62152777777777779</v>
      </c>
      <c r="AA19" s="58">
        <v>52</v>
      </c>
      <c r="AB19" s="58" t="s">
        <v>200</v>
      </c>
      <c r="AC19" s="58" t="s">
        <v>200</v>
      </c>
      <c r="AD19" s="63">
        <v>0.64374999999999993</v>
      </c>
      <c r="AE19" s="58" t="s">
        <v>528</v>
      </c>
      <c r="AF19" s="263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262">
        <f t="shared" ref="AQ19:AQ23" si="1">AP19/G19</f>
        <v>0</v>
      </c>
      <c r="AR19" s="58"/>
      <c r="AS19" s="58"/>
      <c r="AT19" s="58"/>
      <c r="AU19" s="58"/>
      <c r="AV19" s="58"/>
      <c r="AW19" s="48"/>
    </row>
    <row r="20" spans="1:49">
      <c r="A20" s="48"/>
      <c r="B20" s="261">
        <v>46073</v>
      </c>
      <c r="C20" s="59" t="s">
        <v>198</v>
      </c>
      <c r="D20" s="58"/>
      <c r="E20" s="58">
        <v>6.82</v>
      </c>
      <c r="F20" s="58">
        <v>14</v>
      </c>
      <c r="G20" s="58">
        <v>250</v>
      </c>
      <c r="H20" s="58">
        <v>43</v>
      </c>
      <c r="I20" s="58">
        <v>2.7</v>
      </c>
      <c r="J20" s="58" t="s">
        <v>200</v>
      </c>
      <c r="K20" s="58">
        <v>0.43</v>
      </c>
      <c r="L20" s="58">
        <v>0.15</v>
      </c>
      <c r="M20" s="58">
        <v>6.0000000000000001E-3</v>
      </c>
      <c r="N20" s="63">
        <v>0.4826388888888889</v>
      </c>
      <c r="O20" s="58" t="s">
        <v>532</v>
      </c>
      <c r="P20" s="52"/>
      <c r="Q20" s="58">
        <v>1.8</v>
      </c>
      <c r="R20" s="63">
        <v>0.51388888888888895</v>
      </c>
      <c r="S20" s="58" t="s">
        <v>533</v>
      </c>
      <c r="T20" s="58" t="s">
        <v>534</v>
      </c>
      <c r="U20" s="58">
        <v>2.4</v>
      </c>
      <c r="V20" s="63">
        <v>0.52777777777777779</v>
      </c>
      <c r="W20" s="58" t="s">
        <v>535</v>
      </c>
      <c r="X20" s="58" t="s">
        <v>536</v>
      </c>
      <c r="Y20" s="58">
        <v>2.2000000000000002</v>
      </c>
      <c r="Z20" s="63">
        <v>0.55902777777777779</v>
      </c>
      <c r="AA20" s="58" t="s">
        <v>537</v>
      </c>
      <c r="AB20" s="58" t="s">
        <v>538</v>
      </c>
      <c r="AC20" s="58">
        <v>1</v>
      </c>
      <c r="AD20" s="63">
        <v>0.55555555555555558</v>
      </c>
      <c r="AE20" s="58" t="s">
        <v>539</v>
      </c>
      <c r="AF20" s="58" t="s">
        <v>540</v>
      </c>
      <c r="AG20" s="58">
        <v>1</v>
      </c>
      <c r="AH20" s="58"/>
      <c r="AI20" s="58"/>
      <c r="AJ20" s="58"/>
      <c r="AK20" s="58"/>
      <c r="AL20" s="58"/>
      <c r="AM20" s="58"/>
      <c r="AN20" s="58"/>
      <c r="AO20" s="58"/>
      <c r="AP20" s="58">
        <v>80</v>
      </c>
      <c r="AQ20" s="262">
        <f t="shared" si="1"/>
        <v>0.32</v>
      </c>
      <c r="AR20" s="58">
        <v>16</v>
      </c>
      <c r="AS20" s="58"/>
      <c r="AT20" s="58"/>
      <c r="AU20" s="63">
        <v>0.39583333333333331</v>
      </c>
      <c r="AV20" s="63">
        <v>0.41666666666666669</v>
      </c>
      <c r="AW20" s="48"/>
    </row>
    <row r="21" spans="1:49">
      <c r="A21" s="48"/>
      <c r="B21" s="261">
        <v>46079</v>
      </c>
      <c r="C21" s="59" t="s">
        <v>201</v>
      </c>
      <c r="D21" s="58"/>
      <c r="E21" s="58">
        <v>6.84</v>
      </c>
      <c r="F21" s="58">
        <v>18</v>
      </c>
      <c r="G21" s="58">
        <v>250</v>
      </c>
      <c r="H21" s="58">
        <v>46</v>
      </c>
      <c r="I21" s="58">
        <v>3.48</v>
      </c>
      <c r="J21" s="58">
        <v>0.15</v>
      </c>
      <c r="K21" s="58">
        <v>0.50900000000000001</v>
      </c>
      <c r="L21" s="58">
        <v>0.15</v>
      </c>
      <c r="M21" s="58">
        <v>6.0000000000000001E-3</v>
      </c>
      <c r="N21" s="63">
        <v>0.47916666666666669</v>
      </c>
      <c r="O21" s="58" t="s">
        <v>569</v>
      </c>
      <c r="P21" s="52" t="s">
        <v>570</v>
      </c>
      <c r="Q21" s="58">
        <v>1.5</v>
      </c>
      <c r="R21" s="63">
        <v>0.51041666666666663</v>
      </c>
      <c r="S21" s="58" t="s">
        <v>571</v>
      </c>
      <c r="T21" s="58" t="s">
        <v>572</v>
      </c>
      <c r="U21" s="58">
        <v>2.1</v>
      </c>
      <c r="V21" s="63">
        <v>0.52777777777777779</v>
      </c>
      <c r="W21" s="58" t="s">
        <v>573</v>
      </c>
      <c r="X21" s="58"/>
      <c r="Y21" s="58">
        <v>2.5</v>
      </c>
      <c r="Z21" s="63">
        <v>0.54166666666666663</v>
      </c>
      <c r="AA21" s="58" t="s">
        <v>574</v>
      </c>
      <c r="AB21" s="58" t="s">
        <v>575</v>
      </c>
      <c r="AC21" s="58">
        <v>2.5</v>
      </c>
      <c r="AD21" s="63">
        <v>0.55208333333333337</v>
      </c>
      <c r="AE21" s="58" t="s">
        <v>576</v>
      </c>
      <c r="AF21" s="58" t="s">
        <v>577</v>
      </c>
      <c r="AG21" s="58">
        <v>1.1000000000000001</v>
      </c>
      <c r="AH21" s="63">
        <v>0.5625</v>
      </c>
      <c r="AI21" s="58" t="s">
        <v>578</v>
      </c>
      <c r="AJ21" s="58" t="s">
        <v>577</v>
      </c>
      <c r="AK21" s="58">
        <v>1.1000000000000001</v>
      </c>
      <c r="AL21" s="58"/>
      <c r="AM21" s="58"/>
      <c r="AN21" s="58"/>
      <c r="AO21" s="58"/>
      <c r="AP21" s="58">
        <v>100</v>
      </c>
      <c r="AQ21" s="262">
        <f t="shared" si="1"/>
        <v>0.4</v>
      </c>
      <c r="AR21" s="58">
        <v>20</v>
      </c>
      <c r="AS21" s="58"/>
      <c r="AT21" s="58"/>
      <c r="AU21" s="58"/>
      <c r="AV21" s="58"/>
      <c r="AW21" s="48"/>
    </row>
    <row r="22" spans="1:49">
      <c r="A22" s="48"/>
      <c r="B22" s="261">
        <v>46080</v>
      </c>
      <c r="C22" s="59" t="s">
        <v>201</v>
      </c>
      <c r="D22" s="58"/>
      <c r="E22" s="58">
        <v>6.78</v>
      </c>
      <c r="F22" s="58">
        <v>16</v>
      </c>
      <c r="G22" s="58">
        <v>250</v>
      </c>
      <c r="H22" s="58">
        <v>46</v>
      </c>
      <c r="I22" s="58">
        <v>3.84</v>
      </c>
      <c r="J22" s="58">
        <v>0.15</v>
      </c>
      <c r="K22" s="58">
        <v>0.48599999999999999</v>
      </c>
      <c r="L22" s="58">
        <v>0.15</v>
      </c>
      <c r="M22" s="58">
        <v>0.06</v>
      </c>
      <c r="N22" s="63">
        <v>0.4201388888888889</v>
      </c>
      <c r="O22" s="58" t="s">
        <v>579</v>
      </c>
      <c r="P22" s="58" t="s">
        <v>580</v>
      </c>
      <c r="Q22" s="58">
        <v>2</v>
      </c>
      <c r="R22" s="63">
        <v>0.43055555555555558</v>
      </c>
      <c r="S22" s="58" t="s">
        <v>581</v>
      </c>
      <c r="T22" s="58" t="s">
        <v>582</v>
      </c>
      <c r="U22" s="58">
        <v>2</v>
      </c>
      <c r="V22" s="63">
        <v>0.4548611111111111</v>
      </c>
      <c r="W22" s="58" t="s">
        <v>583</v>
      </c>
      <c r="X22" s="58" t="s">
        <v>519</v>
      </c>
      <c r="Y22" s="58">
        <v>2.5</v>
      </c>
      <c r="Z22" s="63">
        <v>0.47222222222222227</v>
      </c>
      <c r="AA22" s="58" t="s">
        <v>584</v>
      </c>
      <c r="AB22" s="58" t="s">
        <v>534</v>
      </c>
      <c r="AC22" s="58">
        <v>2.4</v>
      </c>
      <c r="AD22" s="63">
        <v>0.4861111111111111</v>
      </c>
      <c r="AE22" s="58" t="s">
        <v>585</v>
      </c>
      <c r="AF22" s="58" t="s">
        <v>586</v>
      </c>
      <c r="AG22" s="58">
        <v>2</v>
      </c>
      <c r="AH22" s="63">
        <v>0.5</v>
      </c>
      <c r="AI22" s="58" t="s">
        <v>587</v>
      </c>
      <c r="AJ22" s="58" t="s">
        <v>519</v>
      </c>
      <c r="AK22" s="58">
        <v>1.5</v>
      </c>
      <c r="AL22" s="63">
        <v>0.51388888888888895</v>
      </c>
      <c r="AM22" s="58" t="s">
        <v>588</v>
      </c>
      <c r="AN22" s="58" t="s">
        <v>589</v>
      </c>
      <c r="AO22" s="58">
        <v>1.5</v>
      </c>
      <c r="AP22" s="58">
        <v>106</v>
      </c>
      <c r="AQ22" s="58">
        <f t="shared" si="1"/>
        <v>0.42399999999999999</v>
      </c>
      <c r="AR22" s="58">
        <v>21</v>
      </c>
      <c r="AS22" s="58"/>
      <c r="AT22" s="58"/>
      <c r="AU22" s="58"/>
      <c r="AV22" s="58"/>
      <c r="AW22" s="48"/>
    </row>
    <row r="23" spans="1:49">
      <c r="A23" s="48"/>
      <c r="B23" s="261">
        <v>46085</v>
      </c>
      <c r="C23" s="59" t="s">
        <v>201</v>
      </c>
      <c r="D23" s="58"/>
      <c r="E23" s="58">
        <v>6.62</v>
      </c>
      <c r="F23" s="58">
        <v>17</v>
      </c>
      <c r="G23" s="58">
        <v>120</v>
      </c>
      <c r="H23" s="58">
        <v>46</v>
      </c>
      <c r="I23" s="58">
        <v>3480</v>
      </c>
      <c r="J23" s="58">
        <v>150</v>
      </c>
      <c r="K23" s="58">
        <v>0.45600000000000002</v>
      </c>
      <c r="L23" s="58">
        <v>175</v>
      </c>
      <c r="M23" s="58">
        <v>6.0000000000000001E-3</v>
      </c>
      <c r="N23" s="63">
        <v>0.54861111111111105</v>
      </c>
      <c r="O23" s="58" t="s">
        <v>615</v>
      </c>
      <c r="P23" s="58" t="s">
        <v>616</v>
      </c>
      <c r="Q23" s="58">
        <v>1.7</v>
      </c>
      <c r="R23" s="63">
        <v>0.56944444444444442</v>
      </c>
      <c r="S23" s="58" t="s">
        <v>617</v>
      </c>
      <c r="T23" s="58" t="s">
        <v>618</v>
      </c>
      <c r="U23" s="58">
        <v>1.9</v>
      </c>
      <c r="V23" s="63">
        <v>0.58333333333333337</v>
      </c>
      <c r="W23" s="58" t="s">
        <v>619</v>
      </c>
      <c r="X23" s="58" t="s">
        <v>618</v>
      </c>
      <c r="Y23" s="58">
        <v>1.9</v>
      </c>
      <c r="Z23" s="63">
        <v>0.59722222222222221</v>
      </c>
      <c r="AA23" s="58" t="s">
        <v>620</v>
      </c>
      <c r="AB23" s="58" t="s">
        <v>621</v>
      </c>
      <c r="AC23" s="58">
        <v>1.9</v>
      </c>
      <c r="AD23" s="63">
        <v>0.61111111111111105</v>
      </c>
      <c r="AE23" s="58" t="s">
        <v>622</v>
      </c>
      <c r="AF23" s="58" t="s">
        <v>623</v>
      </c>
      <c r="AG23" s="58">
        <v>1.5</v>
      </c>
      <c r="AH23" s="63">
        <v>0.625</v>
      </c>
      <c r="AI23" s="58" t="s">
        <v>624</v>
      </c>
      <c r="AJ23" s="58" t="s">
        <v>625</v>
      </c>
      <c r="AK23" s="58">
        <v>1.5</v>
      </c>
      <c r="AL23" s="63">
        <v>0.64583333333333337</v>
      </c>
      <c r="AM23" s="58" t="s">
        <v>626</v>
      </c>
      <c r="AN23" s="58" t="s">
        <v>627</v>
      </c>
      <c r="AO23" s="58">
        <v>1.1000000000000001</v>
      </c>
      <c r="AP23" s="58">
        <v>85</v>
      </c>
      <c r="AQ23" s="58">
        <f t="shared" si="1"/>
        <v>0.70833333333333337</v>
      </c>
      <c r="AR23" s="58">
        <v>17</v>
      </c>
      <c r="AS23" s="58"/>
      <c r="AT23" s="58"/>
      <c r="AU23" s="58"/>
      <c r="AV23" s="58"/>
      <c r="AW23" s="48"/>
    </row>
    <row r="24" spans="1:49">
      <c r="A24" s="48"/>
      <c r="B24" s="58"/>
      <c r="C24" s="59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48"/>
    </row>
    <row r="25" spans="1:49">
      <c r="A25" s="48"/>
      <c r="B25" s="58"/>
      <c r="C25" s="59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48"/>
    </row>
    <row r="26" spans="1:49">
      <c r="A26" s="48"/>
      <c r="B26" s="58"/>
      <c r="C26" s="59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48"/>
    </row>
    <row r="27" spans="1:49">
      <c r="A27" s="48"/>
      <c r="B27" s="58"/>
      <c r="C27" s="59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48"/>
    </row>
    <row r="28" spans="1:49">
      <c r="A28" s="48"/>
      <c r="B28" s="58"/>
      <c r="C28" s="59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48"/>
    </row>
    <row r="29" spans="1:49">
      <c r="A29" s="48"/>
      <c r="B29" s="58"/>
      <c r="C29" s="59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48"/>
    </row>
    <row r="30" spans="1:49">
      <c r="A30" s="48"/>
      <c r="B30" s="58"/>
      <c r="C30" s="59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48"/>
    </row>
    <row r="31" spans="1:49">
      <c r="A31" s="48"/>
      <c r="B31" s="58"/>
      <c r="C31" s="59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48"/>
    </row>
    <row r="32" spans="1:49">
      <c r="A32" s="48"/>
      <c r="B32" s="58"/>
      <c r="C32" s="59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48"/>
    </row>
    <row r="33" spans="1:49">
      <c r="A33" s="48"/>
      <c r="B33" s="58"/>
      <c r="C33" s="59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48"/>
    </row>
  </sheetData>
  <mergeCells count="16">
    <mergeCell ref="AU5:AW5"/>
    <mergeCell ref="B5:B6"/>
    <mergeCell ref="C5:C6"/>
    <mergeCell ref="D5:D6"/>
    <mergeCell ref="AP5:AP6"/>
    <mergeCell ref="AQ5:AQ6"/>
    <mergeCell ref="Z5:AC5"/>
    <mergeCell ref="AD5:AG5"/>
    <mergeCell ref="AH5:AK5"/>
    <mergeCell ref="AL5:AO5"/>
    <mergeCell ref="AR5:AT5"/>
    <mergeCell ref="E5:F5"/>
    <mergeCell ref="G5:M5"/>
    <mergeCell ref="N5:Q5"/>
    <mergeCell ref="R5:U5"/>
    <mergeCell ref="V5:Y5"/>
  </mergeCells>
  <phoneticPr fontId="36" type="noConversion"/>
  <conditionalFormatting sqref="D1:D33">
    <cfRule type="containsText" dxfId="24" priority="1" operator="containsText" text="SI">
      <formula>NOT(ISERROR(SEARCH("SI",D1)))</formula>
    </cfRule>
    <cfRule type="containsText" dxfId="23" priority="2" operator="containsText" text="NO">
      <formula>NOT(ISERROR(SEARCH("NO",D1)))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243EA-9926-48C4-8CA5-8D8CFA378CF5}">
  <dimension ref="A1:T25"/>
  <sheetViews>
    <sheetView topLeftCell="D1" workbookViewId="0">
      <selection activeCell="R23" sqref="R23"/>
    </sheetView>
  </sheetViews>
  <sheetFormatPr baseColWidth="10" defaultRowHeight="14.4"/>
  <cols>
    <col min="1" max="1" width="13.109375" customWidth="1"/>
    <col min="2" max="2" width="13.88671875" customWidth="1"/>
    <col min="3" max="3" width="15.21875" customWidth="1"/>
    <col min="9" max="9" width="14.44140625" customWidth="1"/>
    <col min="10" max="10" width="2.77734375" style="288" customWidth="1"/>
    <col min="11" max="11" width="13.6640625" customWidth="1"/>
    <col min="20" max="20" width="14.33203125" customWidth="1"/>
  </cols>
  <sheetData>
    <row r="1" spans="1:20" ht="17.399999999999999">
      <c r="A1" s="290" t="s">
        <v>590</v>
      </c>
      <c r="B1" s="289"/>
      <c r="K1" s="290" t="s">
        <v>591</v>
      </c>
      <c r="L1" s="290"/>
      <c r="M1" s="290"/>
    </row>
    <row r="2" spans="1:20">
      <c r="H2" s="296" t="s">
        <v>594</v>
      </c>
      <c r="I2" s="296" t="s">
        <v>451</v>
      </c>
      <c r="S2" s="296" t="s">
        <v>451</v>
      </c>
      <c r="T2" s="296" t="s">
        <v>596</v>
      </c>
    </row>
    <row r="3" spans="1:20">
      <c r="A3" s="291" t="s">
        <v>268</v>
      </c>
      <c r="B3" s="291" t="s">
        <v>2</v>
      </c>
      <c r="C3" s="291" t="s">
        <v>595</v>
      </c>
      <c r="D3" s="291" t="s">
        <v>596</v>
      </c>
      <c r="E3" s="294"/>
      <c r="F3" s="319" t="s">
        <v>166</v>
      </c>
      <c r="G3" s="296" t="s">
        <v>599</v>
      </c>
      <c r="H3" s="296">
        <f>SUM(D4:D6)</f>
        <v>103.5</v>
      </c>
      <c r="I3" s="7">
        <f>+SUM(C4:C6)</f>
        <v>414</v>
      </c>
      <c r="K3" s="291" t="s">
        <v>268</v>
      </c>
      <c r="L3" s="291" t="s">
        <v>2</v>
      </c>
      <c r="M3" s="291" t="s">
        <v>595</v>
      </c>
      <c r="N3" s="291" t="s">
        <v>596</v>
      </c>
      <c r="Q3" s="319" t="s">
        <v>166</v>
      </c>
      <c r="R3" s="296" t="s">
        <v>597</v>
      </c>
      <c r="S3" s="7">
        <f>+SUM(M4)</f>
        <v>44</v>
      </c>
      <c r="T3" s="7">
        <f>+SUM(N4)</f>
        <v>44</v>
      </c>
    </row>
    <row r="4" spans="1:20">
      <c r="A4" s="296" t="s">
        <v>601</v>
      </c>
      <c r="B4" s="296" t="s">
        <v>599</v>
      </c>
      <c r="C4" s="296">
        <v>169</v>
      </c>
      <c r="D4" s="292">
        <v>42.25</v>
      </c>
      <c r="E4" s="289"/>
      <c r="F4" s="319"/>
      <c r="G4" s="296" t="s">
        <v>598</v>
      </c>
      <c r="H4" s="296">
        <f>+SUM(D7)</f>
        <v>80</v>
      </c>
      <c r="I4" s="7">
        <f>+C7</f>
        <v>16</v>
      </c>
      <c r="K4" s="296" t="s">
        <v>592</v>
      </c>
      <c r="L4" s="296" t="s">
        <v>593</v>
      </c>
      <c r="M4" s="296">
        <v>44</v>
      </c>
      <c r="N4" s="292">
        <v>44</v>
      </c>
      <c r="Q4" s="319"/>
      <c r="R4" s="296" t="s">
        <v>598</v>
      </c>
      <c r="S4" s="7">
        <f>+SUM(M5:M6)</f>
        <v>41</v>
      </c>
      <c r="T4" s="7">
        <f>+SUM(N5:N6)</f>
        <v>205</v>
      </c>
    </row>
    <row r="5" spans="1:20">
      <c r="A5" s="296" t="s">
        <v>602</v>
      </c>
      <c r="B5" s="296" t="s">
        <v>599</v>
      </c>
      <c r="C5" s="296">
        <f>142-H8</f>
        <v>136</v>
      </c>
      <c r="D5" s="292">
        <f>+C5*0.25</f>
        <v>34</v>
      </c>
      <c r="E5" s="289"/>
      <c r="K5" s="296" t="s">
        <v>605</v>
      </c>
      <c r="L5" s="296" t="s">
        <v>606</v>
      </c>
      <c r="M5" s="7">
        <v>20</v>
      </c>
      <c r="N5" s="7">
        <v>100</v>
      </c>
    </row>
    <row r="6" spans="1:20">
      <c r="A6" s="320" t="s">
        <v>604</v>
      </c>
      <c r="B6" s="296" t="s">
        <v>603</v>
      </c>
      <c r="C6" s="296">
        <v>109</v>
      </c>
      <c r="D6" s="292">
        <v>27.25</v>
      </c>
      <c r="E6" s="289"/>
      <c r="F6" s="322" t="s">
        <v>612</v>
      </c>
      <c r="G6" s="322"/>
      <c r="H6" s="322"/>
      <c r="I6" s="322"/>
      <c r="K6" s="296" t="s">
        <v>600</v>
      </c>
      <c r="L6" s="296" t="s">
        <v>598</v>
      </c>
      <c r="M6" s="296">
        <v>21</v>
      </c>
      <c r="N6" s="292">
        <f>21*5</f>
        <v>105</v>
      </c>
      <c r="Q6" s="323" t="s">
        <v>612</v>
      </c>
      <c r="R6" s="323"/>
      <c r="S6" s="323"/>
      <c r="T6" s="323"/>
    </row>
    <row r="7" spans="1:20">
      <c r="A7" s="321"/>
      <c r="B7" s="296" t="s">
        <v>598</v>
      </c>
      <c r="C7" s="296">
        <v>16</v>
      </c>
      <c r="D7" s="292">
        <v>80</v>
      </c>
      <c r="E7" s="289"/>
      <c r="F7" s="291" t="s">
        <v>267</v>
      </c>
      <c r="G7" s="291" t="s">
        <v>613</v>
      </c>
      <c r="H7" s="291" t="s">
        <v>451</v>
      </c>
      <c r="I7" s="291" t="s">
        <v>2</v>
      </c>
      <c r="K7" s="296"/>
      <c r="L7" s="296"/>
      <c r="M7" s="296"/>
      <c r="N7" s="292"/>
      <c r="Q7" s="291" t="s">
        <v>267</v>
      </c>
      <c r="R7" s="291" t="s">
        <v>613</v>
      </c>
      <c r="S7" s="291" t="s">
        <v>451</v>
      </c>
      <c r="T7" s="291" t="s">
        <v>2</v>
      </c>
    </row>
    <row r="8" spans="1:20">
      <c r="A8" s="296"/>
      <c r="B8" s="296"/>
      <c r="C8" s="296"/>
      <c r="D8" s="292"/>
      <c r="E8" s="289"/>
      <c r="F8" s="35">
        <v>46080</v>
      </c>
      <c r="G8" s="7" t="str">
        <f>+A5</f>
        <v>1301261200FL</v>
      </c>
      <c r="H8" s="7">
        <v>6</v>
      </c>
      <c r="I8" s="7" t="s">
        <v>599</v>
      </c>
      <c r="K8" s="296"/>
      <c r="L8" s="296"/>
      <c r="M8" s="296"/>
      <c r="N8" s="292"/>
      <c r="Q8" s="291"/>
      <c r="R8" s="291"/>
      <c r="S8" s="291"/>
      <c r="T8" s="291"/>
    </row>
    <row r="9" spans="1:20">
      <c r="A9" s="296"/>
      <c r="B9" s="296"/>
      <c r="C9" s="296"/>
      <c r="D9" s="292"/>
      <c r="E9" s="289"/>
      <c r="F9" s="7"/>
      <c r="G9" s="7"/>
      <c r="H9" s="7"/>
      <c r="I9" s="7"/>
      <c r="K9" s="296"/>
      <c r="L9" s="296"/>
      <c r="M9" s="296"/>
      <c r="N9" s="292"/>
    </row>
    <row r="10" spans="1:20">
      <c r="A10" s="296"/>
      <c r="B10" s="296"/>
      <c r="C10" s="296"/>
      <c r="D10" s="292"/>
      <c r="E10" s="289"/>
      <c r="K10" s="296"/>
      <c r="L10" s="296"/>
      <c r="M10" s="296"/>
      <c r="N10" s="292"/>
    </row>
    <row r="18" spans="2:6">
      <c r="B18" s="294"/>
      <c r="C18" s="294"/>
      <c r="D18" s="294"/>
      <c r="E18" s="294"/>
      <c r="F18" s="294"/>
    </row>
    <row r="19" spans="2:6">
      <c r="B19" s="294"/>
      <c r="C19" s="294"/>
      <c r="D19" s="294"/>
      <c r="E19" s="294"/>
      <c r="F19" s="289"/>
    </row>
    <row r="20" spans="2:6">
      <c r="B20" s="294"/>
      <c r="C20" s="294"/>
      <c r="D20" s="294"/>
      <c r="E20" s="294"/>
      <c r="F20" s="289"/>
    </row>
    <row r="21" spans="2:6">
      <c r="B21" s="294"/>
      <c r="C21" s="294"/>
      <c r="D21" s="294"/>
      <c r="E21" s="294"/>
      <c r="F21" s="289"/>
    </row>
    <row r="22" spans="2:6">
      <c r="B22" s="294"/>
      <c r="C22" s="294"/>
      <c r="D22" s="294"/>
      <c r="E22" s="294"/>
      <c r="F22" s="289"/>
    </row>
    <row r="23" spans="2:6">
      <c r="B23" s="294"/>
      <c r="C23" s="294"/>
      <c r="D23" s="294"/>
      <c r="E23" s="294"/>
      <c r="F23" s="289"/>
    </row>
    <row r="24" spans="2:6">
      <c r="B24" s="294"/>
      <c r="C24" s="294"/>
      <c r="D24" s="294"/>
      <c r="E24" s="294"/>
      <c r="F24" s="289"/>
    </row>
    <row r="25" spans="2:6">
      <c r="F25" s="289"/>
    </row>
  </sheetData>
  <mergeCells count="5">
    <mergeCell ref="Q3:Q4"/>
    <mergeCell ref="F3:F4"/>
    <mergeCell ref="A6:A7"/>
    <mergeCell ref="F6:I6"/>
    <mergeCell ref="Q6:T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V39"/>
  <sheetViews>
    <sheetView workbookViewId="0">
      <selection activeCell="G33" sqref="G33"/>
    </sheetView>
  </sheetViews>
  <sheetFormatPr baseColWidth="10" defaultColWidth="11" defaultRowHeight="14.4"/>
  <cols>
    <col min="1" max="1" width="21.5546875" bestFit="1" customWidth="1"/>
    <col min="2" max="2" width="14.21875" bestFit="1" customWidth="1"/>
    <col min="3" max="3" width="13.88671875" customWidth="1"/>
    <col min="4" max="4" width="11.5546875" customWidth="1"/>
    <col min="5" max="5" width="20.33203125" customWidth="1"/>
    <col min="6" max="6" width="16.109375" customWidth="1"/>
    <col min="7" max="7" width="13.5546875" customWidth="1"/>
    <col min="9" max="9" width="18.5546875" customWidth="1"/>
    <col min="10" max="10" width="22.6640625" customWidth="1"/>
    <col min="11" max="11" width="23.6640625" customWidth="1"/>
    <col min="12" max="12" width="22.77734375" customWidth="1"/>
    <col min="13" max="13" width="24.6640625" customWidth="1"/>
    <col min="14" max="14" width="22.44140625" customWidth="1"/>
    <col min="15" max="15" width="24.21875" customWidth="1"/>
    <col min="16" max="16" width="24.44140625" customWidth="1"/>
    <col min="18" max="18" width="20.5546875" customWidth="1"/>
    <col min="19" max="19" width="21.109375" customWidth="1"/>
    <col min="20" max="20" width="17.88671875" customWidth="1"/>
    <col min="21" max="21" width="12.88671875" customWidth="1"/>
  </cols>
  <sheetData>
    <row r="3" spans="1:22">
      <c r="A3" s="326" t="s">
        <v>267</v>
      </c>
      <c r="B3" s="326" t="s">
        <v>268</v>
      </c>
      <c r="C3" s="326" t="s">
        <v>269</v>
      </c>
      <c r="D3" s="327" t="s">
        <v>270</v>
      </c>
      <c r="E3" s="324" t="s">
        <v>271</v>
      </c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5" t="s">
        <v>272</v>
      </c>
      <c r="U3" s="325"/>
      <c r="V3" s="325"/>
    </row>
    <row r="4" spans="1:22">
      <c r="A4" s="326"/>
      <c r="B4" s="326"/>
      <c r="C4" s="326"/>
      <c r="D4" s="328"/>
      <c r="E4" s="45" t="s">
        <v>273</v>
      </c>
      <c r="F4" s="45" t="s">
        <v>274</v>
      </c>
      <c r="G4" s="45" t="s">
        <v>275</v>
      </c>
      <c r="H4" s="45" t="s">
        <v>276</v>
      </c>
      <c r="I4" s="45" t="s">
        <v>277</v>
      </c>
      <c r="J4" s="45" t="s">
        <v>278</v>
      </c>
      <c r="K4" s="45" t="s">
        <v>279</v>
      </c>
      <c r="L4" s="45" t="s">
        <v>280</v>
      </c>
      <c r="M4" s="45" t="s">
        <v>281</v>
      </c>
      <c r="N4" s="45" t="s">
        <v>282</v>
      </c>
      <c r="O4" s="45" t="s">
        <v>283</v>
      </c>
      <c r="P4" s="45" t="s">
        <v>284</v>
      </c>
      <c r="Q4" s="45" t="s">
        <v>285</v>
      </c>
      <c r="R4" s="45" t="s">
        <v>286</v>
      </c>
      <c r="S4" s="45" t="s">
        <v>287</v>
      </c>
      <c r="T4" s="45" t="s">
        <v>288</v>
      </c>
      <c r="U4" s="45" t="s">
        <v>289</v>
      </c>
      <c r="V4" s="45" t="s">
        <v>290</v>
      </c>
    </row>
    <row r="5" spans="1:22">
      <c r="A5" s="108">
        <v>46055</v>
      </c>
      <c r="B5" s="37" t="s">
        <v>291</v>
      </c>
      <c r="C5" s="37">
        <v>41</v>
      </c>
      <c r="D5" s="37">
        <v>43.3</v>
      </c>
      <c r="E5" s="37">
        <v>1.4530000000000001</v>
      </c>
      <c r="F5" s="37">
        <v>10</v>
      </c>
      <c r="G5" s="37">
        <v>23</v>
      </c>
      <c r="H5" s="37">
        <v>0.75900000000000001</v>
      </c>
      <c r="I5" s="37">
        <v>10.4</v>
      </c>
      <c r="J5" s="37">
        <v>0.14499999999999999</v>
      </c>
      <c r="K5" s="37">
        <v>1.4530000000000001</v>
      </c>
      <c r="L5" s="37">
        <v>0.18</v>
      </c>
      <c r="M5" s="37">
        <v>2.5000000000000001E-2</v>
      </c>
      <c r="N5" s="37">
        <v>1.4999999999999999E-2</v>
      </c>
      <c r="O5" s="37">
        <v>6.5000000000000002E-2</v>
      </c>
      <c r="P5" s="37">
        <v>0.216</v>
      </c>
      <c r="Q5" s="37">
        <v>0.28000000000000003</v>
      </c>
      <c r="R5" s="37">
        <v>2.5000000000000001E-2</v>
      </c>
      <c r="S5" s="37">
        <v>0.05</v>
      </c>
      <c r="T5" s="37">
        <v>65</v>
      </c>
      <c r="U5" s="46">
        <v>0.60347222222222197</v>
      </c>
      <c r="V5" s="46">
        <v>0.62361111111111101</v>
      </c>
    </row>
    <row r="6" spans="1:22">
      <c r="A6" s="108">
        <v>46055</v>
      </c>
      <c r="B6" s="37" t="s">
        <v>292</v>
      </c>
      <c r="C6" s="37">
        <v>44</v>
      </c>
      <c r="D6" s="37">
        <v>47</v>
      </c>
      <c r="E6" s="37">
        <v>1.4530000000000001</v>
      </c>
      <c r="F6" s="37">
        <v>9</v>
      </c>
      <c r="G6" s="37">
        <v>23</v>
      </c>
      <c r="H6" s="37">
        <v>0.75900000000000001</v>
      </c>
      <c r="I6" s="37">
        <v>10.4</v>
      </c>
      <c r="J6" s="37">
        <v>0.14499999999999999</v>
      </c>
      <c r="K6" s="37">
        <v>1.4530000000000001</v>
      </c>
      <c r="L6" s="37">
        <v>9.0999999999999998E-2</v>
      </c>
      <c r="M6" s="37">
        <v>1.0999999999999999E-2</v>
      </c>
      <c r="N6" s="37">
        <v>4.5999999999999999E-2</v>
      </c>
      <c r="O6" s="37">
        <v>6.5000000000000002E-2</v>
      </c>
      <c r="P6" s="37">
        <v>0.216</v>
      </c>
      <c r="Q6" s="37">
        <v>0.25600000000000001</v>
      </c>
      <c r="R6" s="37">
        <v>2.5000000000000001E-2</v>
      </c>
      <c r="S6" s="37" t="s">
        <v>200</v>
      </c>
      <c r="T6" s="37">
        <v>58</v>
      </c>
      <c r="U6" s="46">
        <v>0.688194444444444</v>
      </c>
      <c r="V6" s="46">
        <v>0.71111111111111103</v>
      </c>
    </row>
    <row r="7" spans="1:22">
      <c r="A7" s="107">
        <v>46057</v>
      </c>
      <c r="B7" s="106" t="s">
        <v>293</v>
      </c>
      <c r="C7" s="38">
        <v>45</v>
      </c>
      <c r="D7" s="38"/>
      <c r="E7" s="38">
        <v>1.4530000000000001</v>
      </c>
      <c r="F7" s="38">
        <v>9.5</v>
      </c>
      <c r="G7" s="38">
        <v>23</v>
      </c>
      <c r="H7" s="38">
        <v>0.75900000000000001</v>
      </c>
      <c r="I7" s="38">
        <v>10.4</v>
      </c>
      <c r="J7" s="38">
        <v>0.14499999999999999</v>
      </c>
      <c r="K7" s="38">
        <v>1.4530000000000001</v>
      </c>
      <c r="L7" s="38">
        <v>0.18</v>
      </c>
      <c r="M7" s="38">
        <v>2.5000000000000001E-2</v>
      </c>
      <c r="N7" s="38">
        <v>0.02</v>
      </c>
      <c r="O7" s="38">
        <v>6.5000000000000002E-2</v>
      </c>
      <c r="P7" s="38">
        <v>0.216</v>
      </c>
      <c r="Q7" s="38">
        <v>0.28000000000000003</v>
      </c>
      <c r="R7" s="38">
        <v>2.5000000000000001E-2</v>
      </c>
      <c r="S7" s="38" t="s">
        <v>200</v>
      </c>
      <c r="T7" s="38">
        <v>61</v>
      </c>
      <c r="U7" s="47">
        <v>0.57638888888888895</v>
      </c>
      <c r="V7" s="47">
        <v>0.60069444444444398</v>
      </c>
    </row>
    <row r="8" spans="1:22">
      <c r="A8" s="107">
        <v>46057</v>
      </c>
      <c r="B8" s="106" t="s">
        <v>293</v>
      </c>
      <c r="C8" s="38"/>
      <c r="D8" s="38"/>
      <c r="E8" s="38">
        <v>1.4530000000000001</v>
      </c>
      <c r="F8" s="38">
        <v>9</v>
      </c>
      <c r="G8" s="38">
        <v>23</v>
      </c>
      <c r="H8" s="38">
        <v>0.75900000000000001</v>
      </c>
      <c r="I8" s="38">
        <v>10.4</v>
      </c>
      <c r="J8" s="38">
        <v>0.14499999999999999</v>
      </c>
      <c r="K8" s="38">
        <v>1.4530000000000001</v>
      </c>
      <c r="L8" s="38">
        <v>0.21</v>
      </c>
      <c r="M8" s="38">
        <v>2.5000000000000001E-2</v>
      </c>
      <c r="N8" s="38">
        <v>0.06</v>
      </c>
      <c r="O8" s="38">
        <v>6.5000000000000002E-2</v>
      </c>
      <c r="P8" s="38">
        <v>0.216</v>
      </c>
      <c r="Q8" s="38">
        <v>0.28000000000000003</v>
      </c>
      <c r="R8" s="38">
        <v>2.5000000000000001E-2</v>
      </c>
      <c r="S8" s="38" t="s">
        <v>200</v>
      </c>
      <c r="T8" s="38">
        <v>59</v>
      </c>
      <c r="U8" s="47">
        <v>0.66666666666666696</v>
      </c>
      <c r="V8" s="47">
        <v>0.6875</v>
      </c>
    </row>
    <row r="9" spans="1:22">
      <c r="A9" s="35">
        <v>46058</v>
      </c>
      <c r="B9" s="7" t="s">
        <v>362</v>
      </c>
      <c r="C9" s="37">
        <v>46</v>
      </c>
      <c r="D9" s="37"/>
      <c r="E9" s="37">
        <v>1.4530000000000001</v>
      </c>
      <c r="F9" s="37">
        <v>8.5</v>
      </c>
      <c r="G9" s="37">
        <v>23</v>
      </c>
      <c r="H9" s="37">
        <v>0.75900000000000001</v>
      </c>
      <c r="I9" s="37">
        <v>10.4</v>
      </c>
      <c r="J9" s="37">
        <v>0.14499999999999999</v>
      </c>
      <c r="K9" s="37">
        <v>1.4530000000000001</v>
      </c>
      <c r="L9" s="37">
        <v>0.2</v>
      </c>
      <c r="M9" s="37">
        <v>3.5000000000000003E-2</v>
      </c>
      <c r="N9" s="37">
        <v>3.2000000000000001E-2</v>
      </c>
      <c r="O9" s="37">
        <v>6.5000000000000002E-2</v>
      </c>
      <c r="P9" s="37">
        <v>0.216</v>
      </c>
      <c r="Q9" s="37">
        <v>0.28000000000000003</v>
      </c>
      <c r="R9" s="37">
        <v>3.5000000000000003E-2</v>
      </c>
      <c r="S9" s="37"/>
      <c r="T9" s="37">
        <v>58</v>
      </c>
      <c r="U9" s="46">
        <v>0.40972222222222227</v>
      </c>
      <c r="V9" s="46">
        <v>0.43402777777777773</v>
      </c>
    </row>
    <row r="10" spans="1:22">
      <c r="A10" s="35">
        <v>46063</v>
      </c>
      <c r="B10" s="7" t="s">
        <v>498</v>
      </c>
      <c r="C10" s="38">
        <v>46</v>
      </c>
      <c r="D10" s="38"/>
      <c r="E10" s="38">
        <v>1.2250000000000001</v>
      </c>
      <c r="F10" s="38">
        <v>7.58</v>
      </c>
      <c r="G10" s="38">
        <v>23</v>
      </c>
      <c r="H10" s="38">
        <v>0.64</v>
      </c>
      <c r="I10" s="38">
        <v>8.9</v>
      </c>
      <c r="J10" s="38">
        <v>0.122</v>
      </c>
      <c r="K10" s="38">
        <v>1.2250000000000001</v>
      </c>
      <c r="L10" s="38">
        <v>0.76</v>
      </c>
      <c r="M10" s="38">
        <v>0</v>
      </c>
      <c r="N10" s="38">
        <v>1.2E-2</v>
      </c>
      <c r="O10" s="38">
        <v>5.5E-2</v>
      </c>
      <c r="P10" s="38">
        <v>0.182</v>
      </c>
      <c r="Q10" s="38">
        <v>0.23599999999999999</v>
      </c>
      <c r="R10" s="38">
        <v>2.1000000000000001E-2</v>
      </c>
      <c r="S10" s="38" t="s">
        <v>200</v>
      </c>
      <c r="T10" s="38">
        <v>55</v>
      </c>
      <c r="U10" s="47">
        <v>0.66666666666666663</v>
      </c>
      <c r="V10" s="47">
        <v>0.6875</v>
      </c>
    </row>
    <row r="11" spans="1:22">
      <c r="A11" s="35">
        <v>46064</v>
      </c>
      <c r="B11" s="7" t="s">
        <v>499</v>
      </c>
      <c r="C11" s="38">
        <v>40</v>
      </c>
      <c r="D11" s="38"/>
      <c r="E11" s="38">
        <v>1.1399999999999999</v>
      </c>
      <c r="F11" s="38">
        <v>6</v>
      </c>
      <c r="G11" s="38">
        <v>18</v>
      </c>
      <c r="H11" s="38">
        <v>0.59499999999999997</v>
      </c>
      <c r="I11" s="38">
        <v>8.1999999999999993</v>
      </c>
      <c r="J11" s="38">
        <v>0.114</v>
      </c>
      <c r="K11" s="38">
        <v>1.1399999999999999</v>
      </c>
      <c r="L11" s="38">
        <v>7.0999999999999994E-2</v>
      </c>
      <c r="M11" s="38">
        <v>0</v>
      </c>
      <c r="N11" s="38">
        <v>1.2E-2</v>
      </c>
      <c r="O11" s="38">
        <v>5.0999999999999997E-2</v>
      </c>
      <c r="P11" s="38">
        <v>0.16900000000000001</v>
      </c>
      <c r="Q11" s="38">
        <v>0.191</v>
      </c>
      <c r="R11" s="38">
        <v>1.6E-2</v>
      </c>
      <c r="S11" s="38">
        <v>4.7E-2</v>
      </c>
      <c r="T11" s="38"/>
      <c r="U11" s="47">
        <v>0.66666666666666663</v>
      </c>
      <c r="V11" s="47">
        <v>0.69097222222222221</v>
      </c>
    </row>
    <row r="12" spans="1:22">
      <c r="A12" s="35">
        <v>46065</v>
      </c>
      <c r="B12" s="7" t="s">
        <v>500</v>
      </c>
      <c r="C12" s="38">
        <v>37</v>
      </c>
      <c r="D12" s="38"/>
      <c r="E12" s="38">
        <v>1.135</v>
      </c>
      <c r="F12" s="38">
        <v>6</v>
      </c>
      <c r="G12" s="38">
        <v>18</v>
      </c>
      <c r="H12" s="38">
        <v>0.59299999999999997</v>
      </c>
      <c r="I12" s="38">
        <v>8.1999999999999993</v>
      </c>
      <c r="J12" s="38">
        <v>0.113</v>
      </c>
      <c r="K12" s="38">
        <f>1.135+0.37</f>
        <v>1.5049999999999999</v>
      </c>
      <c r="L12" s="38">
        <v>0</v>
      </c>
      <c r="M12" s="38">
        <v>0</v>
      </c>
      <c r="N12" s="38">
        <v>1.2E-2</v>
      </c>
      <c r="O12" s="38">
        <v>5.0999999999999997E-2</v>
      </c>
      <c r="P12" s="38">
        <v>0.21299999999999999</v>
      </c>
      <c r="Q12" s="38">
        <v>0.19600000000000001</v>
      </c>
      <c r="R12" s="38">
        <v>2.1000000000000001E-2</v>
      </c>
      <c r="S12" s="38" t="s">
        <v>200</v>
      </c>
      <c r="T12" s="38"/>
      <c r="U12" s="47">
        <v>0.49305555555555558</v>
      </c>
      <c r="V12" s="47">
        <v>0.5131944444444444</v>
      </c>
    </row>
    <row r="13" spans="1:22">
      <c r="A13" s="35">
        <v>46065</v>
      </c>
      <c r="B13" s="7" t="s">
        <v>501</v>
      </c>
      <c r="C13" s="38">
        <v>38</v>
      </c>
      <c r="D13" s="38"/>
      <c r="E13" s="38">
        <v>1.135</v>
      </c>
      <c r="F13" s="38">
        <v>6.5</v>
      </c>
      <c r="G13" s="38">
        <v>23</v>
      </c>
      <c r="H13" s="38">
        <v>0.59299999999999997</v>
      </c>
      <c r="I13" s="38">
        <v>8.1999999999999993</v>
      </c>
      <c r="J13" s="38">
        <v>0.113</v>
      </c>
      <c r="K13" s="38">
        <v>1.135</v>
      </c>
      <c r="L13" s="38">
        <v>0</v>
      </c>
      <c r="M13" s="38">
        <v>0</v>
      </c>
      <c r="N13" s="38">
        <v>1.2E-2</v>
      </c>
      <c r="O13" s="38">
        <v>5.0999999999999997E-2</v>
      </c>
      <c r="P13" s="38">
        <v>0.21299999999999999</v>
      </c>
      <c r="Q13" s="38">
        <v>0.19600000000000001</v>
      </c>
      <c r="R13" s="38">
        <v>2.1000000000000001E-2</v>
      </c>
      <c r="S13" s="38">
        <v>0.06</v>
      </c>
      <c r="T13" s="38"/>
      <c r="U13" s="47">
        <v>0.59375</v>
      </c>
      <c r="V13" s="47">
        <v>0.61388888888888882</v>
      </c>
    </row>
    <row r="14" spans="1:22">
      <c r="A14" s="257">
        <v>46066</v>
      </c>
      <c r="B14" s="241" t="s">
        <v>502</v>
      </c>
      <c r="C14" s="38">
        <v>32</v>
      </c>
      <c r="D14" s="38">
        <v>34.549999999999997</v>
      </c>
      <c r="E14" s="38">
        <v>1.135</v>
      </c>
      <c r="F14" s="38"/>
      <c r="G14" s="38"/>
      <c r="H14" s="38">
        <v>0.59299999999999997</v>
      </c>
      <c r="I14" s="38">
        <v>8.1999999999999993</v>
      </c>
      <c r="J14" s="38">
        <v>0.113</v>
      </c>
      <c r="K14" s="38">
        <v>1.135</v>
      </c>
      <c r="L14" s="38" t="s">
        <v>200</v>
      </c>
      <c r="M14" s="38" t="s">
        <v>200</v>
      </c>
      <c r="N14" s="38">
        <v>1.2E-2</v>
      </c>
      <c r="O14" s="38">
        <v>5.0999999999999997E-2</v>
      </c>
      <c r="P14" s="38">
        <v>0.216</v>
      </c>
      <c r="Q14" s="38">
        <v>0.19600000000000001</v>
      </c>
      <c r="R14" s="38">
        <v>2.1000000000000001E-2</v>
      </c>
      <c r="S14" s="38" t="s">
        <v>200</v>
      </c>
      <c r="T14" s="38"/>
      <c r="U14" s="38"/>
      <c r="V14" s="38"/>
    </row>
    <row r="15" spans="1:22">
      <c r="A15" s="35">
        <v>46065</v>
      </c>
      <c r="B15" s="7" t="s">
        <v>503</v>
      </c>
      <c r="C15" s="38">
        <v>38</v>
      </c>
      <c r="D15" s="38"/>
      <c r="E15" s="38">
        <v>1.141</v>
      </c>
      <c r="F15" s="38">
        <v>6</v>
      </c>
      <c r="G15" s="38">
        <v>18</v>
      </c>
      <c r="H15" s="38">
        <v>0.59599999999999997</v>
      </c>
      <c r="I15" s="38">
        <v>8.1999999999999993</v>
      </c>
      <c r="J15" s="38">
        <v>0.114</v>
      </c>
      <c r="K15" s="38">
        <v>1.143</v>
      </c>
      <c r="L15" s="38" t="s">
        <v>200</v>
      </c>
      <c r="M15" s="38" t="s">
        <v>200</v>
      </c>
      <c r="N15" s="38">
        <v>1.2E-2</v>
      </c>
      <c r="O15" s="38">
        <v>5.0999999999999997E-2</v>
      </c>
      <c r="P15" s="38">
        <v>0.17</v>
      </c>
      <c r="Q15" s="38">
        <v>0.192</v>
      </c>
      <c r="R15" s="38">
        <v>1.6E-2</v>
      </c>
      <c r="S15" s="38">
        <v>4.7E-2</v>
      </c>
      <c r="T15" s="38"/>
      <c r="U15" s="38"/>
      <c r="V15" s="38"/>
    </row>
    <row r="16" spans="1:22">
      <c r="A16" s="35">
        <v>46066</v>
      </c>
      <c r="B16" s="7" t="s">
        <v>504</v>
      </c>
      <c r="C16" s="38">
        <v>41</v>
      </c>
      <c r="D16" s="38">
        <v>40.35</v>
      </c>
      <c r="E16" s="38">
        <v>1.169</v>
      </c>
      <c r="F16" s="38">
        <v>5.5</v>
      </c>
      <c r="G16" s="38">
        <v>23</v>
      </c>
      <c r="H16" s="38">
        <v>0.59499999999999997</v>
      </c>
      <c r="I16" s="38">
        <v>8.4</v>
      </c>
      <c r="J16" s="38">
        <v>0.11700000000000001</v>
      </c>
      <c r="K16" s="38">
        <v>1.1171</v>
      </c>
      <c r="L16" s="38" t="s">
        <v>200</v>
      </c>
      <c r="M16" s="38" t="s">
        <v>200</v>
      </c>
      <c r="N16" s="38">
        <v>1.2E-2</v>
      </c>
      <c r="O16" s="38">
        <v>5.1999999999999998E-2</v>
      </c>
      <c r="P16" s="38">
        <v>0.17399999999999999</v>
      </c>
      <c r="Q16" s="38">
        <v>0.216</v>
      </c>
      <c r="R16" s="38">
        <v>1.7000000000000001E-2</v>
      </c>
      <c r="S16" s="38" t="s">
        <v>200</v>
      </c>
      <c r="T16" s="38">
        <v>60</v>
      </c>
      <c r="U16" s="47">
        <v>0.62152777777777779</v>
      </c>
      <c r="V16" s="47">
        <v>0.64444444444444449</v>
      </c>
    </row>
    <row r="17" spans="1:22">
      <c r="A17" s="35">
        <v>46066</v>
      </c>
      <c r="B17" s="7" t="s">
        <v>505</v>
      </c>
      <c r="C17" s="38">
        <v>35</v>
      </c>
      <c r="D17" s="38"/>
      <c r="E17" s="38">
        <v>1.169</v>
      </c>
      <c r="F17" s="38">
        <v>5.5</v>
      </c>
      <c r="G17" s="38">
        <v>18.5</v>
      </c>
      <c r="H17" s="38">
        <v>0.59499999999999997</v>
      </c>
      <c r="I17" s="38">
        <v>8.4</v>
      </c>
      <c r="J17" s="38">
        <v>0.11700000000000001</v>
      </c>
      <c r="K17" s="38">
        <v>1.171</v>
      </c>
      <c r="L17" s="38" t="s">
        <v>200</v>
      </c>
      <c r="M17" s="38" t="s">
        <v>200</v>
      </c>
      <c r="N17" s="38">
        <v>1.2E-2</v>
      </c>
      <c r="O17" s="38">
        <v>5.1999999999999998E-2</v>
      </c>
      <c r="P17" s="38">
        <v>0.17399999999999999</v>
      </c>
      <c r="Q17" s="38">
        <v>0.216</v>
      </c>
      <c r="R17" s="38">
        <v>1.6E-2</v>
      </c>
      <c r="S17" s="38">
        <v>4.8000000000000001E-2</v>
      </c>
      <c r="T17" s="38">
        <v>54</v>
      </c>
      <c r="U17" s="38"/>
      <c r="V17" s="38"/>
    </row>
    <row r="18" spans="1:22">
      <c r="A18" s="35">
        <v>46066</v>
      </c>
      <c r="B18" s="7" t="s">
        <v>502</v>
      </c>
      <c r="C18" s="38">
        <v>32</v>
      </c>
      <c r="D18" s="38">
        <v>34.549999999999997</v>
      </c>
      <c r="E18" s="38">
        <v>1.161</v>
      </c>
      <c r="F18" s="38">
        <v>6</v>
      </c>
      <c r="G18" s="38">
        <f>18+5</f>
        <v>23</v>
      </c>
      <c r="H18" s="38">
        <v>0.60699999999999998</v>
      </c>
      <c r="I18" s="38">
        <v>8.4</v>
      </c>
      <c r="J18" s="38">
        <v>0.11600000000000001</v>
      </c>
      <c r="K18" s="38">
        <v>1.1639999999999999</v>
      </c>
      <c r="L18" s="38" t="s">
        <v>200</v>
      </c>
      <c r="M18" s="38" t="s">
        <v>200</v>
      </c>
      <c r="N18" s="38">
        <v>1.2E-2</v>
      </c>
      <c r="O18" s="38">
        <v>5.1999999999999998E-2</v>
      </c>
      <c r="P18" s="38">
        <v>0.17299999999999999</v>
      </c>
      <c r="Q18" s="38">
        <v>0.217</v>
      </c>
      <c r="R18" s="38">
        <v>1.6E-2</v>
      </c>
      <c r="S18" s="38" t="s">
        <v>200</v>
      </c>
      <c r="T18" s="38"/>
      <c r="U18" s="38"/>
      <c r="V18" s="38"/>
    </row>
    <row r="19" spans="1:22">
      <c r="A19" s="35">
        <v>46071</v>
      </c>
      <c r="B19" s="7" t="s">
        <v>541</v>
      </c>
      <c r="C19" s="38">
        <v>41.5</v>
      </c>
      <c r="D19" s="38">
        <v>47.8</v>
      </c>
      <c r="E19" s="38">
        <v>1.169</v>
      </c>
      <c r="F19" s="38">
        <v>6</v>
      </c>
      <c r="G19" s="38">
        <v>23</v>
      </c>
      <c r="H19" s="38">
        <v>0.61099999999999999</v>
      </c>
      <c r="I19" s="38">
        <v>8.4</v>
      </c>
      <c r="J19" s="38">
        <v>0.11700000000000001</v>
      </c>
      <c r="K19" s="38">
        <v>1.171</v>
      </c>
      <c r="L19" s="38" t="s">
        <v>200</v>
      </c>
      <c r="M19" s="38" t="s">
        <v>200</v>
      </c>
      <c r="N19" s="38">
        <v>1.2E-2</v>
      </c>
      <c r="O19" s="38">
        <v>5.1999999999999998E-2</v>
      </c>
      <c r="P19" s="38">
        <v>0.17399999999999999</v>
      </c>
      <c r="Q19" s="38">
        <v>0.216</v>
      </c>
      <c r="R19" s="38">
        <v>1.6E-2</v>
      </c>
      <c r="S19" s="38">
        <v>7.4999999999999997E-2</v>
      </c>
      <c r="T19" s="38"/>
      <c r="U19" s="38"/>
      <c r="V19" s="38"/>
    </row>
    <row r="20" spans="1:22">
      <c r="A20" s="35">
        <v>46071</v>
      </c>
      <c r="B20" s="7" t="s">
        <v>542</v>
      </c>
      <c r="C20" s="38">
        <v>42</v>
      </c>
      <c r="D20" s="38">
        <v>48.95</v>
      </c>
      <c r="E20" s="38">
        <v>1.143</v>
      </c>
      <c r="F20" s="38">
        <v>6</v>
      </c>
      <c r="G20" s="38">
        <v>23</v>
      </c>
      <c r="H20" s="38">
        <v>0.59699999999999998</v>
      </c>
      <c r="I20" s="38">
        <v>8.1999999999999993</v>
      </c>
      <c r="J20" s="38">
        <v>0.114</v>
      </c>
      <c r="K20" s="38">
        <v>1.1146</v>
      </c>
      <c r="L20" s="38">
        <v>7.0999999999999994E-2</v>
      </c>
      <c r="M20" s="38" t="s">
        <v>200</v>
      </c>
      <c r="N20" s="38">
        <v>1.2E-2</v>
      </c>
      <c r="O20" s="38">
        <v>5.0999999999999997E-2</v>
      </c>
      <c r="P20" s="38">
        <v>0.17</v>
      </c>
      <c r="Q20" s="38">
        <v>0.22</v>
      </c>
      <c r="R20" s="38">
        <v>2.5000000000000001E-2</v>
      </c>
      <c r="S20" s="38" t="s">
        <v>200</v>
      </c>
      <c r="T20" s="38"/>
      <c r="U20" s="38"/>
      <c r="V20" s="38"/>
    </row>
    <row r="21" spans="1:22">
      <c r="A21" s="35">
        <v>46072</v>
      </c>
      <c r="B21" s="7" t="s">
        <v>543</v>
      </c>
      <c r="C21" s="38">
        <v>40</v>
      </c>
      <c r="D21" s="38">
        <v>45.75</v>
      </c>
      <c r="E21" s="38">
        <v>1.135</v>
      </c>
      <c r="F21" s="38">
        <v>6</v>
      </c>
      <c r="G21" s="38">
        <v>23</v>
      </c>
      <c r="H21" s="38">
        <v>0.59299999999999997</v>
      </c>
      <c r="I21" s="38">
        <v>8.4</v>
      </c>
      <c r="J21" s="38">
        <v>0.113</v>
      </c>
      <c r="K21" s="38">
        <v>1.137</v>
      </c>
      <c r="L21" s="38" t="s">
        <v>200</v>
      </c>
      <c r="M21" s="38" t="s">
        <v>200</v>
      </c>
      <c r="N21" s="38">
        <v>1.2E-2</v>
      </c>
      <c r="O21" s="38">
        <v>5.1999999999999998E-2</v>
      </c>
      <c r="P21" s="38">
        <v>0.216</v>
      </c>
      <c r="Q21" s="38">
        <v>0.22</v>
      </c>
      <c r="R21" s="38">
        <v>2.5000000000000001E-2</v>
      </c>
      <c r="S21" s="38" t="s">
        <v>200</v>
      </c>
      <c r="T21" s="38"/>
      <c r="U21" s="38"/>
      <c r="V21" s="38"/>
    </row>
    <row r="22" spans="1:22">
      <c r="A22" s="35">
        <v>46072</v>
      </c>
      <c r="B22" s="7" t="s">
        <v>544</v>
      </c>
      <c r="C22" s="38">
        <v>43</v>
      </c>
      <c r="D22" s="38">
        <v>50</v>
      </c>
      <c r="E22" s="38">
        <v>1.143</v>
      </c>
      <c r="F22" s="38">
        <v>6</v>
      </c>
      <c r="G22" s="38">
        <f>23+5</f>
        <v>28</v>
      </c>
      <c r="H22" s="38">
        <v>0.59499999999999997</v>
      </c>
      <c r="I22" s="38">
        <v>8.4</v>
      </c>
      <c r="J22" s="38">
        <v>0.11600000000000001</v>
      </c>
      <c r="K22" s="38">
        <v>1.143</v>
      </c>
      <c r="L22" s="38">
        <v>8.3000000000000004E-2</v>
      </c>
      <c r="M22" s="38" t="s">
        <v>200</v>
      </c>
      <c r="N22" s="38">
        <v>1.4E-2</v>
      </c>
      <c r="O22" s="38">
        <v>5.1999999999999998E-2</v>
      </c>
      <c r="P22" s="38">
        <v>0.216</v>
      </c>
      <c r="Q22" s="38">
        <v>0.22</v>
      </c>
      <c r="R22" s="38">
        <v>2.5000000000000001E-2</v>
      </c>
      <c r="S22" s="38" t="s">
        <v>200</v>
      </c>
      <c r="T22" s="38">
        <v>54</v>
      </c>
      <c r="U22" s="38"/>
      <c r="V22" s="38"/>
    </row>
    <row r="23" spans="1:22">
      <c r="A23" s="35">
        <v>46076</v>
      </c>
      <c r="B23" s="7" t="s">
        <v>546</v>
      </c>
      <c r="C23" s="38">
        <v>42</v>
      </c>
      <c r="D23" s="38">
        <v>47.35</v>
      </c>
      <c r="E23" s="38">
        <v>1.143</v>
      </c>
      <c r="F23" s="38">
        <v>6</v>
      </c>
      <c r="G23" s="38">
        <v>26</v>
      </c>
      <c r="H23" s="38">
        <v>0.59499999999999997</v>
      </c>
      <c r="I23" s="38">
        <v>8.4</v>
      </c>
      <c r="J23" s="38">
        <v>0.11600000000000001</v>
      </c>
      <c r="K23" s="38">
        <v>1.143</v>
      </c>
      <c r="L23" s="38">
        <v>0.124</v>
      </c>
      <c r="M23" s="38">
        <v>2.3E-2</v>
      </c>
      <c r="N23" s="38">
        <v>1.4E-2</v>
      </c>
      <c r="O23" s="38">
        <v>5.1999999999999998E-2</v>
      </c>
      <c r="P23" s="38">
        <v>0.216</v>
      </c>
      <c r="Q23" s="38">
        <v>0.22</v>
      </c>
      <c r="R23" s="38">
        <v>2.5000000000000001E-2</v>
      </c>
      <c r="S23" s="38">
        <v>5.5E-2</v>
      </c>
      <c r="T23" s="38">
        <v>57</v>
      </c>
      <c r="U23" s="47">
        <v>0.49305555555555558</v>
      </c>
      <c r="V23" s="47">
        <v>0.51388888888888895</v>
      </c>
    </row>
    <row r="24" spans="1:22">
      <c r="A24" s="35">
        <v>46076</v>
      </c>
      <c r="B24" s="7" t="s">
        <v>547</v>
      </c>
      <c r="C24" s="38">
        <v>35</v>
      </c>
      <c r="D24" s="38">
        <v>40.950000000000003</v>
      </c>
      <c r="E24" s="38">
        <v>1.143</v>
      </c>
      <c r="F24" s="38">
        <v>6</v>
      </c>
      <c r="G24" s="38">
        <v>20</v>
      </c>
      <c r="H24" s="38">
        <v>0.59499999999999997</v>
      </c>
      <c r="I24" s="38">
        <v>8.4</v>
      </c>
      <c r="J24" s="38">
        <v>0.11600000000000001</v>
      </c>
      <c r="K24" s="38">
        <v>1.143</v>
      </c>
      <c r="L24" s="38">
        <v>0.18</v>
      </c>
      <c r="M24" s="38">
        <v>0.02</v>
      </c>
      <c r="N24" s="38">
        <v>1.4E-2</v>
      </c>
      <c r="O24" s="38">
        <v>5.1999999999999998E-2</v>
      </c>
      <c r="P24" s="38">
        <v>0.216</v>
      </c>
      <c r="Q24" s="38">
        <v>0.2</v>
      </c>
      <c r="R24" s="38">
        <v>2.5000000000000001E-2</v>
      </c>
      <c r="S24" s="38" t="s">
        <v>200</v>
      </c>
      <c r="T24" s="38">
        <v>54</v>
      </c>
      <c r="U24" s="47">
        <v>0.60069444444444442</v>
      </c>
      <c r="V24" s="47">
        <v>0.62638888888888888</v>
      </c>
    </row>
    <row r="25" spans="1:22">
      <c r="A25" s="35">
        <v>46076</v>
      </c>
      <c r="B25" s="7" t="s">
        <v>552</v>
      </c>
      <c r="C25" s="38"/>
      <c r="D25" s="38"/>
      <c r="E25" s="38">
        <v>1.143</v>
      </c>
      <c r="F25" s="38">
        <v>6</v>
      </c>
      <c r="G25" s="38">
        <v>23</v>
      </c>
      <c r="H25" s="38">
        <v>0.59499999999999997</v>
      </c>
      <c r="I25" s="38">
        <v>8.4</v>
      </c>
      <c r="J25" s="38">
        <v>0.11600000000000001</v>
      </c>
      <c r="K25" s="38">
        <v>1.143</v>
      </c>
      <c r="L25" s="38">
        <v>0.124</v>
      </c>
      <c r="M25" s="38">
        <v>2.3E-2</v>
      </c>
      <c r="N25" s="38">
        <v>1.4E-2</v>
      </c>
      <c r="O25" s="38">
        <v>5.1999999999999998E-2</v>
      </c>
      <c r="P25" s="38">
        <v>0.216</v>
      </c>
      <c r="Q25" s="38">
        <v>0.216</v>
      </c>
      <c r="R25" s="38">
        <v>2.5000000000000001E-2</v>
      </c>
      <c r="S25" s="38" t="s">
        <v>200</v>
      </c>
      <c r="T25" s="38"/>
      <c r="U25" s="38"/>
      <c r="V25" s="38"/>
    </row>
    <row r="26" spans="1:22">
      <c r="A26" s="35">
        <v>46078</v>
      </c>
      <c r="B26" s="7" t="s">
        <v>564</v>
      </c>
      <c r="C26" s="38">
        <v>35</v>
      </c>
      <c r="D26" s="38">
        <v>39.950000000000003</v>
      </c>
      <c r="E26" s="38">
        <v>1.143</v>
      </c>
      <c r="F26" s="38">
        <v>6</v>
      </c>
      <c r="G26" s="38">
        <v>23</v>
      </c>
      <c r="H26" s="38">
        <v>0.59499999999999997</v>
      </c>
      <c r="I26" s="38">
        <v>8.4</v>
      </c>
      <c r="J26" s="38">
        <v>0.11600000000000001</v>
      </c>
      <c r="K26" s="38">
        <v>1.143</v>
      </c>
      <c r="L26" s="38" t="s">
        <v>200</v>
      </c>
      <c r="M26" s="38" t="s">
        <v>200</v>
      </c>
      <c r="N26" s="38">
        <v>0.04</v>
      </c>
      <c r="O26" s="38">
        <v>5.1999999999999998E-2</v>
      </c>
      <c r="P26" s="38">
        <v>0.216</v>
      </c>
      <c r="Q26" s="38">
        <v>0.19</v>
      </c>
      <c r="R26" s="38">
        <v>3.5000000000000003E-2</v>
      </c>
      <c r="S26" s="38">
        <v>0.03</v>
      </c>
      <c r="T26" s="38">
        <v>57</v>
      </c>
      <c r="U26" s="47">
        <v>0.43888888888888888</v>
      </c>
      <c r="V26" s="47">
        <v>0.4548611111111111</v>
      </c>
    </row>
    <row r="27" spans="1:22">
      <c r="A27" s="35">
        <v>46078</v>
      </c>
      <c r="B27" s="7" t="s">
        <v>565</v>
      </c>
      <c r="C27" s="38">
        <v>49</v>
      </c>
      <c r="D27" s="38">
        <v>48.3</v>
      </c>
      <c r="E27" s="38">
        <v>1.143</v>
      </c>
      <c r="F27" s="38">
        <v>6</v>
      </c>
      <c r="G27" s="38">
        <v>27</v>
      </c>
      <c r="H27" s="38">
        <v>0.59499999999999997</v>
      </c>
      <c r="I27" s="38">
        <v>8.4</v>
      </c>
      <c r="J27" s="38">
        <v>0.11600000000000001</v>
      </c>
      <c r="K27" s="38">
        <v>1.143</v>
      </c>
      <c r="L27" s="38" t="s">
        <v>200</v>
      </c>
      <c r="M27" s="38" t="s">
        <v>200</v>
      </c>
      <c r="N27" s="38">
        <v>1.2E-2</v>
      </c>
      <c r="O27" s="38">
        <v>5.1999999999999998E-2</v>
      </c>
      <c r="P27" s="38">
        <v>0.24</v>
      </c>
      <c r="Q27" s="38">
        <v>0.22</v>
      </c>
      <c r="R27" s="38">
        <v>3.5000000000000003E-2</v>
      </c>
      <c r="S27" s="38">
        <v>0.04</v>
      </c>
      <c r="T27" s="38">
        <v>56</v>
      </c>
      <c r="U27" s="47">
        <v>0.52708333333333335</v>
      </c>
      <c r="V27" s="47">
        <v>0.54999999999999993</v>
      </c>
    </row>
    <row r="28" spans="1:22">
      <c r="A28" s="35">
        <v>46078</v>
      </c>
      <c r="B28" s="7" t="s">
        <v>566</v>
      </c>
      <c r="C28" s="38">
        <v>37</v>
      </c>
      <c r="D28" s="38">
        <v>41.55</v>
      </c>
      <c r="E28" s="38">
        <v>1.143</v>
      </c>
      <c r="F28" s="38">
        <v>6</v>
      </c>
      <c r="G28" s="38">
        <v>18</v>
      </c>
      <c r="H28" s="38">
        <v>0.59499999999999997</v>
      </c>
      <c r="I28" s="38">
        <v>8.4</v>
      </c>
      <c r="J28" s="38">
        <v>0.11600000000000001</v>
      </c>
      <c r="K28" s="38">
        <v>1.143</v>
      </c>
      <c r="L28" s="38">
        <v>0.18</v>
      </c>
      <c r="M28" s="38">
        <v>0.02</v>
      </c>
      <c r="N28" s="38">
        <v>1.2E-2</v>
      </c>
      <c r="O28" s="38">
        <v>5.1999999999999998E-2</v>
      </c>
      <c r="P28" s="38">
        <v>0.24</v>
      </c>
      <c r="Q28" s="38">
        <v>0.19</v>
      </c>
      <c r="R28" s="38">
        <v>0.03</v>
      </c>
      <c r="S28" s="38">
        <v>0.04</v>
      </c>
      <c r="T28" s="38">
        <v>55</v>
      </c>
      <c r="U28" s="47">
        <v>0.61597222222222225</v>
      </c>
      <c r="V28" s="47">
        <v>0.63888888888888895</v>
      </c>
    </row>
    <row r="29" spans="1:22">
      <c r="A29" s="35">
        <v>46079</v>
      </c>
      <c r="B29" s="7" t="s">
        <v>568</v>
      </c>
      <c r="C29" s="38">
        <v>41</v>
      </c>
      <c r="D29" s="38">
        <v>46.25</v>
      </c>
      <c r="E29" s="38">
        <v>1.143</v>
      </c>
      <c r="F29" s="38">
        <v>6</v>
      </c>
      <c r="G29" s="38">
        <v>27</v>
      </c>
      <c r="H29" s="38">
        <v>0.59499999999999997</v>
      </c>
      <c r="I29" s="38">
        <v>8.4</v>
      </c>
      <c r="J29" s="38">
        <v>0.11600000000000001</v>
      </c>
      <c r="K29" s="38">
        <v>1.143</v>
      </c>
      <c r="L29" s="38">
        <v>0.09</v>
      </c>
      <c r="M29" s="38">
        <v>0.01</v>
      </c>
      <c r="N29" s="38">
        <v>1.2E-2</v>
      </c>
      <c r="O29" s="38">
        <v>5.1999999999999998E-2</v>
      </c>
      <c r="P29" s="38">
        <v>0.216</v>
      </c>
      <c r="Q29" s="38">
        <v>0.22</v>
      </c>
      <c r="R29" s="38">
        <v>2.5000000000000001E-2</v>
      </c>
      <c r="S29" s="38">
        <v>5.5E-2</v>
      </c>
      <c r="T29" s="38">
        <v>55</v>
      </c>
      <c r="U29" s="47">
        <v>0.69791666666666663</v>
      </c>
      <c r="V29" s="47">
        <v>0.71527777777777779</v>
      </c>
    </row>
    <row r="30" spans="1:22">
      <c r="A30" s="35">
        <v>46080</v>
      </c>
      <c r="B30" s="296" t="s">
        <v>610</v>
      </c>
      <c r="C30" s="38"/>
      <c r="D30" s="38"/>
      <c r="E30" s="38">
        <v>1.143</v>
      </c>
      <c r="F30" s="38">
        <v>6</v>
      </c>
      <c r="G30" s="38">
        <v>18</v>
      </c>
      <c r="H30" s="38">
        <v>0.59499999999999997</v>
      </c>
      <c r="I30" s="38">
        <v>8.4</v>
      </c>
      <c r="J30" s="38">
        <v>0.11600000000000001</v>
      </c>
      <c r="K30" s="38">
        <v>1.143</v>
      </c>
      <c r="L30" s="38">
        <v>0.18</v>
      </c>
      <c r="M30" s="38">
        <v>0.02</v>
      </c>
      <c r="N30" s="38">
        <v>1.2E-2</v>
      </c>
      <c r="O30" s="38">
        <v>5.1999999999999998E-2</v>
      </c>
      <c r="P30" s="38">
        <v>0.216</v>
      </c>
      <c r="Q30" s="38">
        <v>0.18</v>
      </c>
      <c r="R30" s="38">
        <v>2.5000000000000001E-2</v>
      </c>
      <c r="S30" s="295" t="s">
        <v>200</v>
      </c>
      <c r="T30" s="38">
        <v>55</v>
      </c>
      <c r="U30" s="47">
        <v>0.6118055555555556</v>
      </c>
      <c r="V30" s="47">
        <v>0.63541666666666663</v>
      </c>
    </row>
    <row r="31" spans="1:22">
      <c r="A31" s="35"/>
      <c r="B31" s="7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47"/>
      <c r="V31" s="47"/>
    </row>
    <row r="32" spans="1:22">
      <c r="A32" s="35"/>
      <c r="B32" s="7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47"/>
      <c r="V32" s="47"/>
    </row>
    <row r="33" spans="1:22">
      <c r="A33" s="35"/>
      <c r="B33" s="7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47"/>
      <c r="V33" s="47"/>
    </row>
    <row r="34" spans="1:22">
      <c r="A34" s="35"/>
      <c r="B34" s="7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47"/>
      <c r="V34" s="47"/>
    </row>
    <row r="35" spans="1:22">
      <c r="A35" s="35"/>
      <c r="B35" s="7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47"/>
      <c r="V35" s="47"/>
    </row>
    <row r="36" spans="1:22">
      <c r="A36" s="35"/>
      <c r="B36" s="7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47"/>
      <c r="V36" s="47"/>
    </row>
    <row r="37" spans="1:22">
      <c r="A37" s="35"/>
      <c r="B37" s="7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47"/>
      <c r="V37" s="47"/>
    </row>
    <row r="38" spans="1:22">
      <c r="A38" s="7"/>
      <c r="B38" s="7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</row>
    <row r="39" spans="1:22">
      <c r="A39" s="7"/>
      <c r="B39" s="7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</row>
  </sheetData>
  <mergeCells count="6">
    <mergeCell ref="E3:S3"/>
    <mergeCell ref="T3:V3"/>
    <mergeCell ref="A3:A4"/>
    <mergeCell ref="B3:B4"/>
    <mergeCell ref="C3:C4"/>
    <mergeCell ref="D3:D4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7C17D-CC2A-4222-9BBA-31F85C1B584C}">
  <dimension ref="A1:O10"/>
  <sheetViews>
    <sheetView workbookViewId="0">
      <selection activeCell="N6" sqref="N6"/>
    </sheetView>
  </sheetViews>
  <sheetFormatPr baseColWidth="10" defaultRowHeight="14.4"/>
  <cols>
    <col min="2" max="2" width="14.6640625" customWidth="1"/>
    <col min="3" max="3" width="15.44140625" customWidth="1"/>
    <col min="5" max="5" width="13.109375" customWidth="1"/>
    <col min="9" max="9" width="14.77734375" customWidth="1"/>
    <col min="13" max="13" width="14.33203125" customWidth="1"/>
  </cols>
  <sheetData>
    <row r="1" spans="1:15">
      <c r="E1" s="329"/>
      <c r="F1" s="330"/>
    </row>
    <row r="2" spans="1:15">
      <c r="A2" s="291" t="s">
        <v>608</v>
      </c>
      <c r="B2" s="291" t="s">
        <v>268</v>
      </c>
      <c r="C2" s="291" t="s">
        <v>595</v>
      </c>
      <c r="D2" s="291" t="s">
        <v>607</v>
      </c>
      <c r="E2" s="294"/>
      <c r="F2" s="331" t="s">
        <v>166</v>
      </c>
      <c r="G2" s="293" t="s">
        <v>595</v>
      </c>
      <c r="H2" s="293" t="s">
        <v>596</v>
      </c>
      <c r="K2" s="332" t="s">
        <v>609</v>
      </c>
      <c r="L2" s="332"/>
      <c r="M2" s="332"/>
      <c r="N2" s="332"/>
      <c r="O2" s="332"/>
    </row>
    <row r="3" spans="1:15">
      <c r="A3" s="7">
        <v>1</v>
      </c>
      <c r="B3" s="296" t="s">
        <v>544</v>
      </c>
      <c r="C3" s="7">
        <v>23</v>
      </c>
      <c r="D3" s="7">
        <v>25.2</v>
      </c>
      <c r="F3" s="331"/>
      <c r="G3" s="293">
        <f>+SUM(C3:C9)</f>
        <v>255</v>
      </c>
      <c r="H3" s="293">
        <f>+SUM(D3:D9)</f>
        <v>281.67</v>
      </c>
      <c r="K3" s="291" t="s">
        <v>608</v>
      </c>
      <c r="L3" s="291" t="s">
        <v>267</v>
      </c>
      <c r="M3" s="301" t="s">
        <v>268</v>
      </c>
      <c r="N3" s="291" t="s">
        <v>451</v>
      </c>
      <c r="O3" s="291" t="s">
        <v>594</v>
      </c>
    </row>
    <row r="4" spans="1:15">
      <c r="A4" s="7">
        <v>2</v>
      </c>
      <c r="B4" s="296" t="s">
        <v>547</v>
      </c>
      <c r="C4" s="7">
        <v>35</v>
      </c>
      <c r="D4" s="7">
        <v>40.869999999999997</v>
      </c>
      <c r="E4" s="329"/>
      <c r="F4" s="330"/>
      <c r="K4" s="7">
        <v>1</v>
      </c>
      <c r="L4" s="7"/>
      <c r="M4" s="7"/>
      <c r="N4" s="7"/>
      <c r="O4" s="7"/>
    </row>
    <row r="5" spans="1:15">
      <c r="A5" s="7">
        <v>2</v>
      </c>
      <c r="B5" s="296" t="s">
        <v>552</v>
      </c>
      <c r="C5" s="7">
        <v>35</v>
      </c>
      <c r="D5" s="7">
        <v>39.549999999999997</v>
      </c>
      <c r="E5" s="294"/>
      <c r="F5" s="294"/>
      <c r="G5" s="297"/>
      <c r="K5" s="7">
        <v>2</v>
      </c>
      <c r="L5" s="35">
        <v>46087</v>
      </c>
      <c r="M5" s="7" t="str">
        <f>+B8</f>
        <v>2502261330CHL</v>
      </c>
      <c r="N5" s="7">
        <f>+C8</f>
        <v>37</v>
      </c>
      <c r="O5" s="7">
        <f>+D8</f>
        <v>41.55</v>
      </c>
    </row>
    <row r="6" spans="1:15">
      <c r="A6" s="302">
        <v>3</v>
      </c>
      <c r="B6" s="303" t="s">
        <v>564</v>
      </c>
      <c r="C6" s="302">
        <v>35</v>
      </c>
      <c r="D6" s="302">
        <v>39.950000000000003</v>
      </c>
      <c r="K6" s="7">
        <v>3</v>
      </c>
      <c r="L6" s="35">
        <v>46087</v>
      </c>
      <c r="M6" s="7" t="str">
        <f>+B6</f>
        <v>2502260930CHL</v>
      </c>
      <c r="N6" s="7">
        <v>9</v>
      </c>
      <c r="O6" s="7">
        <v>9.15</v>
      </c>
    </row>
    <row r="7" spans="1:15">
      <c r="A7" s="7">
        <v>4</v>
      </c>
      <c r="B7" s="296" t="s">
        <v>565</v>
      </c>
      <c r="C7" s="7">
        <v>49</v>
      </c>
      <c r="D7" s="7">
        <v>48.3</v>
      </c>
      <c r="K7" s="7">
        <v>4</v>
      </c>
      <c r="L7" s="7"/>
      <c r="M7" s="7"/>
      <c r="N7" s="7"/>
      <c r="O7" s="7"/>
    </row>
    <row r="8" spans="1:15">
      <c r="A8" s="302">
        <v>5</v>
      </c>
      <c r="B8" s="303" t="s">
        <v>566</v>
      </c>
      <c r="C8" s="302">
        <v>37</v>
      </c>
      <c r="D8" s="302">
        <v>41.55</v>
      </c>
      <c r="E8" s="304" t="s">
        <v>628</v>
      </c>
      <c r="K8" s="7">
        <v>5</v>
      </c>
      <c r="L8" s="7"/>
      <c r="M8" s="7"/>
      <c r="N8" s="7"/>
      <c r="O8" s="7"/>
    </row>
    <row r="9" spans="1:15">
      <c r="A9" s="7">
        <v>6</v>
      </c>
      <c r="B9" s="296" t="s">
        <v>568</v>
      </c>
      <c r="C9" s="7">
        <v>41</v>
      </c>
      <c r="D9" s="7">
        <v>46.25</v>
      </c>
      <c r="K9" s="7">
        <v>6</v>
      </c>
      <c r="L9" s="7"/>
      <c r="M9" s="7"/>
      <c r="N9" s="7"/>
      <c r="O9" s="7"/>
    </row>
    <row r="10" spans="1:15">
      <c r="K10" s="7">
        <v>7</v>
      </c>
      <c r="L10" s="7"/>
      <c r="M10" s="7"/>
      <c r="N10" s="7"/>
      <c r="O10" s="7"/>
    </row>
  </sheetData>
  <mergeCells count="4">
    <mergeCell ref="E1:F1"/>
    <mergeCell ref="F2:F3"/>
    <mergeCell ref="E4:F4"/>
    <mergeCell ref="K2:O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R353"/>
  <sheetViews>
    <sheetView zoomScale="112" zoomScaleNormal="112" workbookViewId="0">
      <pane ySplit="1" topLeftCell="A38" activePane="bottomLeft" state="frozen"/>
      <selection pane="bottomLeft" activeCell="B46" sqref="B46"/>
    </sheetView>
  </sheetViews>
  <sheetFormatPr baseColWidth="10" defaultColWidth="9.109375" defaultRowHeight="14.4"/>
  <cols>
    <col min="1" max="3" width="15.6640625" customWidth="1"/>
    <col min="4" max="4" width="13.21875" customWidth="1"/>
    <col min="5" max="14" width="15.6640625" customWidth="1"/>
    <col min="15" max="16" width="15.6640625" style="112" customWidth="1"/>
    <col min="17" max="17" width="15.6640625" customWidth="1"/>
    <col min="18" max="19" width="15.6640625" style="112" customWidth="1"/>
    <col min="20" max="22" width="15.6640625" customWidth="1"/>
    <col min="23" max="23" width="15.77734375" style="112" customWidth="1"/>
    <col min="24" max="24" width="13.77734375" customWidth="1"/>
    <col min="25" max="25" width="13.21875" style="270" customWidth="1"/>
    <col min="26" max="26" width="10.21875" style="272" customWidth="1"/>
    <col min="27" max="27" width="8.5546875" style="112" hidden="1" customWidth="1"/>
    <col min="28" max="28" width="8.44140625" style="112" hidden="1" customWidth="1"/>
    <col min="29" max="29" width="9.33203125" style="112" hidden="1" customWidth="1"/>
    <col min="30" max="30" width="6.88671875" style="112" hidden="1" customWidth="1"/>
    <col min="31" max="31" width="6.6640625" style="112" hidden="1" customWidth="1"/>
    <col min="32" max="32" width="7.77734375" style="112" hidden="1" customWidth="1"/>
    <col min="33" max="33" width="7.109375" style="112" hidden="1" customWidth="1"/>
    <col min="34" max="34" width="10.109375" style="112" hidden="1" customWidth="1"/>
    <col min="35" max="35" width="8.6640625" style="112" hidden="1" customWidth="1"/>
    <col min="36" max="36" width="9.44140625" style="112" hidden="1" customWidth="1"/>
    <col min="37" max="37" width="9.6640625" style="112" hidden="1" customWidth="1"/>
    <col min="38" max="38" width="8.109375" style="112" hidden="1" customWidth="1"/>
    <col min="39" max="39" width="8.33203125" style="112" hidden="1" customWidth="1"/>
    <col min="40" max="40" width="7.88671875" style="112" hidden="1" customWidth="1"/>
    <col min="41" max="41" width="7.5546875" style="112" hidden="1" customWidth="1"/>
    <col min="42" max="42" width="7.33203125" style="112" hidden="1" customWidth="1"/>
    <col min="43" max="43" width="7.88671875" style="112" hidden="1" customWidth="1"/>
    <col min="44" max="44" width="8.33203125" style="112" hidden="1" customWidth="1"/>
    <col min="45" max="45" width="8" style="112" hidden="1" customWidth="1"/>
    <col min="46" max="46" width="7.5546875" style="112" hidden="1" customWidth="1"/>
    <col min="47" max="47" width="8.88671875" style="112" hidden="1" customWidth="1"/>
    <col min="48" max="48" width="8.77734375" style="112" hidden="1" customWidth="1"/>
    <col min="49" max="49" width="8.44140625" style="112" hidden="1" customWidth="1"/>
    <col min="50" max="50" width="9.6640625" style="112" hidden="1" customWidth="1"/>
    <col min="51" max="51" width="9" style="112" hidden="1" customWidth="1"/>
    <col min="52" max="52" width="6.6640625" style="112" hidden="1" customWidth="1"/>
    <col min="53" max="53" width="6" style="112" hidden="1" customWidth="1"/>
    <col min="54" max="54" width="8" style="112" hidden="1" customWidth="1"/>
    <col min="55" max="55" width="9.33203125" style="112" hidden="1" customWidth="1"/>
    <col min="56" max="56" width="8.44140625" style="112" hidden="1" customWidth="1"/>
    <col min="57" max="57" width="9.21875" style="112" hidden="1" customWidth="1"/>
    <col min="58" max="58" width="7" style="112" hidden="1" customWidth="1"/>
    <col min="59" max="59" width="7.33203125" style="112" hidden="1" customWidth="1"/>
    <col min="60" max="64" width="9.109375" style="112" hidden="1" customWidth="1"/>
    <col min="65" max="65" width="8.21875" style="112" hidden="1" customWidth="1"/>
    <col min="66" max="67" width="9.109375" style="112" hidden="1" customWidth="1"/>
    <col min="68" max="68" width="0.6640625" style="112" customWidth="1"/>
    <col min="69" max="69" width="12" style="112" customWidth="1"/>
    <col min="70" max="70" width="12.77734375" customWidth="1"/>
  </cols>
  <sheetData>
    <row r="1" spans="1:70" ht="45" customHeight="1">
      <c r="A1" s="39" t="s">
        <v>267</v>
      </c>
      <c r="B1" s="39" t="s">
        <v>268</v>
      </c>
      <c r="C1" s="41" t="s">
        <v>294</v>
      </c>
      <c r="D1" s="40" t="s">
        <v>295</v>
      </c>
      <c r="E1" s="41" t="s">
        <v>289</v>
      </c>
      <c r="F1" s="41" t="s">
        <v>296</v>
      </c>
      <c r="G1" s="41" t="s">
        <v>297</v>
      </c>
      <c r="H1" s="41" t="s">
        <v>298</v>
      </c>
      <c r="I1" s="41" t="s">
        <v>299</v>
      </c>
      <c r="J1" s="41" t="s">
        <v>300</v>
      </c>
      <c r="K1" s="41" t="s">
        <v>301</v>
      </c>
      <c r="L1" s="41" t="s">
        <v>302</v>
      </c>
      <c r="M1" s="41" t="s">
        <v>303</v>
      </c>
      <c r="N1" s="41" t="s">
        <v>304</v>
      </c>
      <c r="O1" s="113" t="s">
        <v>305</v>
      </c>
      <c r="P1" s="113" t="s">
        <v>306</v>
      </c>
      <c r="Q1" s="41" t="s">
        <v>307</v>
      </c>
      <c r="R1" s="113" t="s">
        <v>308</v>
      </c>
      <c r="S1" s="113" t="s">
        <v>309</v>
      </c>
      <c r="T1" s="41" t="s">
        <v>310</v>
      </c>
      <c r="U1" s="41" t="s">
        <v>311</v>
      </c>
      <c r="V1" s="41" t="s">
        <v>312</v>
      </c>
      <c r="W1" s="113" t="s">
        <v>313</v>
      </c>
      <c r="X1" s="41" t="s">
        <v>314</v>
      </c>
      <c r="Y1" s="274" t="s">
        <v>556</v>
      </c>
      <c r="Z1" s="275" t="s">
        <v>557</v>
      </c>
      <c r="BQ1" s="115" t="s">
        <v>407</v>
      </c>
      <c r="BR1" s="116" t="s">
        <v>561</v>
      </c>
    </row>
    <row r="2" spans="1:70">
      <c r="A2" s="35">
        <v>46003</v>
      </c>
      <c r="B2" s="7" t="s">
        <v>315</v>
      </c>
      <c r="C2" s="7">
        <v>2700</v>
      </c>
      <c r="D2" s="7" t="s">
        <v>316</v>
      </c>
      <c r="E2" s="42">
        <v>0.38611111111111102</v>
      </c>
      <c r="F2" s="42">
        <v>0.45763888888888898</v>
      </c>
      <c r="G2" s="43" t="s">
        <v>317</v>
      </c>
      <c r="H2" s="7" t="s">
        <v>318</v>
      </c>
      <c r="I2" s="7">
        <v>6.55</v>
      </c>
      <c r="J2" s="7">
        <v>36.700000000000003</v>
      </c>
      <c r="K2" s="43">
        <v>532</v>
      </c>
      <c r="L2" s="42">
        <v>0.46736111111111101</v>
      </c>
      <c r="M2" s="42">
        <v>0.46875</v>
      </c>
      <c r="N2" s="43" t="s">
        <v>319</v>
      </c>
      <c r="O2" s="91">
        <v>6.49</v>
      </c>
      <c r="P2" s="91">
        <v>36.700000000000003</v>
      </c>
      <c r="Q2" s="42">
        <v>0.51041666666666696</v>
      </c>
      <c r="R2" s="91">
        <v>45</v>
      </c>
      <c r="S2" s="91">
        <v>6.07</v>
      </c>
      <c r="T2" s="42">
        <v>0.55555555555555602</v>
      </c>
      <c r="U2" s="42">
        <v>0.56944444444444398</v>
      </c>
      <c r="V2" s="42">
        <v>0.57986111111111105</v>
      </c>
      <c r="W2" s="91">
        <v>5.44</v>
      </c>
      <c r="X2" s="7">
        <v>43</v>
      </c>
      <c r="Y2" s="271"/>
      <c r="Z2" s="273"/>
    </row>
    <row r="3" spans="1:70">
      <c r="A3" s="35">
        <v>46004</v>
      </c>
      <c r="B3" s="7">
        <v>131225</v>
      </c>
      <c r="C3" s="7">
        <v>2900</v>
      </c>
      <c r="D3" s="7" t="s">
        <v>320</v>
      </c>
      <c r="E3" s="42">
        <v>0.360416666666667</v>
      </c>
      <c r="F3" s="42">
        <v>0.41875000000000001</v>
      </c>
      <c r="G3" s="43" t="s">
        <v>321</v>
      </c>
      <c r="H3" s="7" t="s">
        <v>318</v>
      </c>
      <c r="I3" s="7">
        <v>6.53</v>
      </c>
      <c r="J3" s="7">
        <v>36.6</v>
      </c>
      <c r="K3" s="43">
        <v>530</v>
      </c>
      <c r="L3" s="42">
        <v>0.42638888888888898</v>
      </c>
      <c r="M3" s="42">
        <v>0.43055555555555602</v>
      </c>
      <c r="N3" s="43">
        <v>48</v>
      </c>
      <c r="O3" s="91">
        <v>6.51</v>
      </c>
      <c r="P3" s="91">
        <v>36.5</v>
      </c>
      <c r="Q3" s="42">
        <v>0.45833333333333298</v>
      </c>
      <c r="R3" s="91">
        <v>43.5</v>
      </c>
      <c r="S3" s="91">
        <v>6.27</v>
      </c>
      <c r="T3" s="42">
        <v>0.47916666666666702</v>
      </c>
      <c r="U3" s="42">
        <v>0.49861111111111101</v>
      </c>
      <c r="V3" s="42">
        <v>0.51388888888888895</v>
      </c>
      <c r="W3" s="91">
        <v>5.97</v>
      </c>
      <c r="X3" s="7">
        <v>42</v>
      </c>
      <c r="Y3" s="271"/>
      <c r="Z3" s="273"/>
    </row>
    <row r="4" spans="1:70">
      <c r="A4" s="35">
        <v>46008</v>
      </c>
      <c r="B4" s="7">
        <v>1712251047</v>
      </c>
      <c r="C4" s="7">
        <v>3000</v>
      </c>
      <c r="D4" s="7">
        <v>6.64</v>
      </c>
      <c r="E4" s="42">
        <v>0.44930555555555601</v>
      </c>
      <c r="F4" s="42">
        <v>0.52569444444444402</v>
      </c>
      <c r="G4" s="43">
        <v>2</v>
      </c>
      <c r="H4" s="7" t="s">
        <v>318</v>
      </c>
      <c r="I4" s="7" t="s">
        <v>322</v>
      </c>
      <c r="J4" s="7">
        <v>36.799999999999997</v>
      </c>
      <c r="K4" s="43">
        <v>500</v>
      </c>
      <c r="L4" s="42">
        <v>0.53333333333333299</v>
      </c>
      <c r="M4" s="42">
        <v>0.53819444444444398</v>
      </c>
      <c r="N4" s="43">
        <v>48</v>
      </c>
      <c r="O4" s="91">
        <v>6.59</v>
      </c>
      <c r="P4" s="91">
        <v>36.799999999999997</v>
      </c>
      <c r="Q4" s="42">
        <v>0.56944444444444398</v>
      </c>
      <c r="R4" s="91">
        <v>43</v>
      </c>
      <c r="S4" s="91">
        <v>6.4</v>
      </c>
      <c r="T4" s="42">
        <v>0.62013888888888902</v>
      </c>
      <c r="U4" s="42">
        <v>0.63680555555555596</v>
      </c>
      <c r="V4" s="42">
        <v>0.65277777777777801</v>
      </c>
      <c r="W4" s="91">
        <v>5.64</v>
      </c>
      <c r="X4" s="7">
        <v>43</v>
      </c>
      <c r="Y4" s="271"/>
      <c r="Z4" s="273"/>
    </row>
    <row r="5" spans="1:70">
      <c r="A5" s="35">
        <v>46009</v>
      </c>
      <c r="B5" s="7">
        <v>1812250854</v>
      </c>
      <c r="C5" s="7">
        <v>2900</v>
      </c>
      <c r="D5" s="7" t="s">
        <v>323</v>
      </c>
      <c r="E5" s="42">
        <v>0.37083333333333302</v>
      </c>
      <c r="F5" s="42">
        <v>0.42916666666666697</v>
      </c>
      <c r="G5" s="43">
        <v>2</v>
      </c>
      <c r="H5" s="7" t="s">
        <v>318</v>
      </c>
      <c r="I5" s="7">
        <v>6.63</v>
      </c>
      <c r="J5" s="7">
        <v>36.5</v>
      </c>
      <c r="K5" s="43">
        <v>530</v>
      </c>
      <c r="L5" s="42">
        <v>0.44513888888888897</v>
      </c>
      <c r="M5" s="42">
        <v>0.44652777777777802</v>
      </c>
      <c r="N5" s="43">
        <v>45</v>
      </c>
      <c r="O5" s="91">
        <v>6.6</v>
      </c>
      <c r="P5" s="91">
        <v>36.6</v>
      </c>
      <c r="Q5" s="42">
        <v>0.47708333333333303</v>
      </c>
      <c r="R5" s="91">
        <v>46.6</v>
      </c>
      <c r="S5" s="91"/>
      <c r="T5" s="7"/>
      <c r="U5" s="7"/>
      <c r="V5" s="42">
        <v>0.55486111111111103</v>
      </c>
      <c r="W5" s="91">
        <v>5.42</v>
      </c>
      <c r="X5" s="7">
        <v>45</v>
      </c>
      <c r="Y5" s="271"/>
      <c r="Z5" s="273"/>
    </row>
    <row r="6" spans="1:70">
      <c r="A6" s="35">
        <v>46010</v>
      </c>
      <c r="B6" s="7">
        <v>1912250906</v>
      </c>
      <c r="C6" s="7">
        <v>2750</v>
      </c>
      <c r="D6" s="7"/>
      <c r="E6" s="42">
        <v>0.37916666666666698</v>
      </c>
      <c r="F6" s="42">
        <v>0.45833333333333298</v>
      </c>
      <c r="G6" s="43">
        <v>2</v>
      </c>
      <c r="H6" s="7" t="s">
        <v>318</v>
      </c>
      <c r="I6" s="7">
        <v>6.64</v>
      </c>
      <c r="J6" s="7">
        <v>36.5</v>
      </c>
      <c r="K6" s="43">
        <v>344</v>
      </c>
      <c r="L6" s="42">
        <v>0.47986111111111102</v>
      </c>
      <c r="M6" s="42">
        <v>0.48125000000000001</v>
      </c>
      <c r="N6" s="43">
        <v>44</v>
      </c>
      <c r="O6" s="91">
        <v>6.59</v>
      </c>
      <c r="P6" s="91">
        <v>36.5</v>
      </c>
      <c r="Q6" s="42">
        <v>0.50763888888888897</v>
      </c>
      <c r="R6" s="91"/>
      <c r="S6" s="91"/>
      <c r="T6" s="42">
        <v>0.53749999999999998</v>
      </c>
      <c r="U6" s="42">
        <v>0.55555555555555602</v>
      </c>
      <c r="V6" s="42">
        <v>0.56805555555555598</v>
      </c>
      <c r="W6" s="91">
        <v>5.8</v>
      </c>
      <c r="X6" s="7">
        <v>44.2</v>
      </c>
      <c r="Y6" s="271"/>
      <c r="Z6" s="273"/>
    </row>
    <row r="7" spans="1:70">
      <c r="A7" s="35">
        <v>46011</v>
      </c>
      <c r="B7" s="7">
        <v>2012250850</v>
      </c>
      <c r="C7" s="7">
        <v>2820</v>
      </c>
      <c r="D7" s="7" t="s">
        <v>324</v>
      </c>
      <c r="E7" s="42">
        <v>0.36805555555555602</v>
      </c>
      <c r="F7" s="42">
        <v>0.43055555555555602</v>
      </c>
      <c r="G7" s="43">
        <v>2</v>
      </c>
      <c r="H7" s="7" t="s">
        <v>318</v>
      </c>
      <c r="I7" s="7">
        <v>6.58</v>
      </c>
      <c r="J7" s="7">
        <v>36.6</v>
      </c>
      <c r="K7" s="43">
        <v>330</v>
      </c>
      <c r="L7" s="42">
        <v>0.45069444444444501</v>
      </c>
      <c r="M7" s="42">
        <v>0.45138888888888901</v>
      </c>
      <c r="N7" s="43">
        <v>44.5</v>
      </c>
      <c r="O7" s="91">
        <v>6.57</v>
      </c>
      <c r="P7" s="91">
        <v>36.6</v>
      </c>
      <c r="Q7" s="42">
        <v>0.48819444444444399</v>
      </c>
      <c r="R7" s="91">
        <v>43</v>
      </c>
      <c r="S7" s="91">
        <v>5.93</v>
      </c>
      <c r="T7" s="42">
        <v>0.53333333333333299</v>
      </c>
      <c r="U7" s="7"/>
      <c r="V7" s="7"/>
      <c r="W7" s="91"/>
      <c r="X7" s="7"/>
      <c r="Y7" s="271"/>
      <c r="Z7" s="273"/>
    </row>
    <row r="8" spans="1:70">
      <c r="A8" s="35">
        <v>46014</v>
      </c>
      <c r="B8" s="7">
        <v>2312251130</v>
      </c>
      <c r="C8" s="7">
        <v>3000</v>
      </c>
      <c r="D8" s="7">
        <v>6.83</v>
      </c>
      <c r="E8" s="7"/>
      <c r="F8" s="42">
        <v>0.53125</v>
      </c>
      <c r="G8" s="43">
        <f>50*2</f>
        <v>100</v>
      </c>
      <c r="H8" s="7" t="s">
        <v>325</v>
      </c>
      <c r="I8" s="7" t="s">
        <v>326</v>
      </c>
      <c r="J8" s="7">
        <v>36</v>
      </c>
      <c r="K8" s="43"/>
      <c r="L8" s="7"/>
      <c r="M8" s="42">
        <v>0.563194444444444</v>
      </c>
      <c r="N8" s="43">
        <v>61.5</v>
      </c>
      <c r="O8" s="91"/>
      <c r="P8" s="91">
        <v>37</v>
      </c>
      <c r="Q8" s="42">
        <v>0.59583333333333299</v>
      </c>
      <c r="R8" s="91">
        <v>41.8</v>
      </c>
      <c r="S8" s="91"/>
      <c r="T8" s="42">
        <v>0.625</v>
      </c>
      <c r="U8" s="7"/>
      <c r="V8" s="7"/>
      <c r="W8" s="91"/>
      <c r="X8" s="7"/>
      <c r="Y8" s="271"/>
      <c r="Z8" s="273"/>
    </row>
    <row r="9" spans="1:70">
      <c r="A9" s="117">
        <v>46030</v>
      </c>
      <c r="B9" s="111">
        <v>801261100</v>
      </c>
      <c r="C9" s="111">
        <v>3000</v>
      </c>
      <c r="D9" s="111">
        <v>6.54</v>
      </c>
      <c r="E9" s="118" t="s">
        <v>364</v>
      </c>
      <c r="F9" s="118">
        <v>0.53819444444444442</v>
      </c>
      <c r="G9" s="119">
        <v>50</v>
      </c>
      <c r="H9" s="111" t="s">
        <v>327</v>
      </c>
      <c r="I9" s="111">
        <v>6.51</v>
      </c>
      <c r="J9" s="111">
        <v>36.4</v>
      </c>
      <c r="K9" s="119">
        <v>60</v>
      </c>
      <c r="L9" s="118">
        <v>0.5395833333333333</v>
      </c>
      <c r="M9" s="118">
        <v>0.54722222222222217</v>
      </c>
      <c r="N9" s="119">
        <v>34</v>
      </c>
      <c r="O9" s="120">
        <v>6.5</v>
      </c>
      <c r="P9" s="120">
        <v>36.299999999999997</v>
      </c>
      <c r="Q9" s="118">
        <v>0.57986111111111105</v>
      </c>
      <c r="R9" s="120">
        <v>41</v>
      </c>
      <c r="S9" s="120">
        <v>6.07</v>
      </c>
      <c r="T9" s="118">
        <v>0.5854166666666667</v>
      </c>
      <c r="U9" s="118">
        <v>0.59722222222222221</v>
      </c>
      <c r="V9" s="118">
        <v>0.63888888888888895</v>
      </c>
      <c r="W9" s="120">
        <v>5.7</v>
      </c>
      <c r="X9" s="111">
        <v>40.700000000000003</v>
      </c>
      <c r="Y9" s="271">
        <v>212.25</v>
      </c>
      <c r="Z9" s="273">
        <v>205.35</v>
      </c>
      <c r="BQ9" s="120">
        <f t="shared" ref="BQ9:BQ31" si="0">SUM(Y9:BP9)</f>
        <v>417.6</v>
      </c>
      <c r="BR9">
        <f>C9/BQ9</f>
        <v>7.1839080459770113</v>
      </c>
    </row>
    <row r="10" spans="1:70">
      <c r="A10" s="35">
        <v>46031</v>
      </c>
      <c r="B10" s="7">
        <v>90126</v>
      </c>
      <c r="C10" s="7">
        <v>3000</v>
      </c>
      <c r="D10" s="7">
        <v>6.6</v>
      </c>
      <c r="E10" s="42">
        <v>0.3888888888888889</v>
      </c>
      <c r="F10" s="42">
        <v>0.48749999999999999</v>
      </c>
      <c r="G10" s="43">
        <v>1.5</v>
      </c>
      <c r="H10" s="7" t="s">
        <v>327</v>
      </c>
      <c r="I10" s="7">
        <v>6.56</v>
      </c>
      <c r="J10" s="7">
        <v>36.1</v>
      </c>
      <c r="K10" s="43">
        <v>60</v>
      </c>
      <c r="L10" s="42">
        <v>0.48819444444444443</v>
      </c>
      <c r="M10" s="42">
        <v>0.49722222222222223</v>
      </c>
      <c r="N10" s="43">
        <v>34</v>
      </c>
      <c r="O10" s="91">
        <v>6.56</v>
      </c>
      <c r="P10" s="91">
        <v>36.1</v>
      </c>
      <c r="Q10" s="42">
        <v>0.54166666666666663</v>
      </c>
      <c r="R10" s="91">
        <v>40.5</v>
      </c>
      <c r="S10" s="91">
        <v>6.46</v>
      </c>
      <c r="T10" s="42">
        <v>0.57013888888888886</v>
      </c>
      <c r="U10" s="42">
        <v>0.58333333333333337</v>
      </c>
      <c r="V10" s="42">
        <v>0.61458333333333337</v>
      </c>
      <c r="W10" s="91">
        <v>6.46</v>
      </c>
      <c r="X10" s="7">
        <v>40.5</v>
      </c>
      <c r="Y10" s="271">
        <v>7.55</v>
      </c>
      <c r="Z10" s="273">
        <v>7.1</v>
      </c>
      <c r="AA10" s="91">
        <v>7.3</v>
      </c>
      <c r="AB10" s="91">
        <v>6.48</v>
      </c>
      <c r="AC10" s="91">
        <v>6.6</v>
      </c>
      <c r="AD10" s="91">
        <v>6.9</v>
      </c>
      <c r="AE10" s="91">
        <v>6.4</v>
      </c>
      <c r="AF10" s="91">
        <v>6.8</v>
      </c>
      <c r="AG10" s="91">
        <v>6.9</v>
      </c>
      <c r="AH10" s="91">
        <v>6.2</v>
      </c>
      <c r="AI10" s="91">
        <v>7.25</v>
      </c>
      <c r="AJ10" s="91">
        <v>7.2</v>
      </c>
      <c r="AK10" s="91">
        <v>6.95</v>
      </c>
      <c r="AL10" s="91">
        <v>5.9</v>
      </c>
      <c r="AM10" s="91">
        <v>5.85</v>
      </c>
      <c r="AN10" s="91">
        <v>4.8</v>
      </c>
      <c r="AO10" s="91">
        <v>6.95</v>
      </c>
      <c r="AP10" s="91">
        <v>6.2</v>
      </c>
      <c r="AQ10" s="91">
        <v>5.65</v>
      </c>
      <c r="AR10" s="91">
        <v>4.0999999999999996</v>
      </c>
      <c r="AS10" s="91">
        <v>5.85</v>
      </c>
      <c r="AT10" s="91">
        <v>7.4</v>
      </c>
      <c r="AU10" s="91">
        <v>7.2</v>
      </c>
      <c r="AV10" s="91">
        <v>5.3</v>
      </c>
      <c r="AW10" s="91">
        <v>6</v>
      </c>
      <c r="AX10" s="91">
        <v>5.85</v>
      </c>
      <c r="AY10" s="91">
        <v>5.25</v>
      </c>
      <c r="AZ10" s="91">
        <v>6.05</v>
      </c>
      <c r="BA10" s="91">
        <v>6.2</v>
      </c>
      <c r="BB10" s="91">
        <v>7.1</v>
      </c>
      <c r="BC10" s="91">
        <v>6.95</v>
      </c>
      <c r="BD10" s="91">
        <v>7.3</v>
      </c>
      <c r="BE10" s="91">
        <v>6.6</v>
      </c>
      <c r="BF10" s="91">
        <v>18.600000000000001</v>
      </c>
      <c r="BG10" s="91">
        <v>17.25</v>
      </c>
      <c r="BH10" s="91">
        <v>15.95</v>
      </c>
      <c r="BI10" s="91">
        <v>23.2</v>
      </c>
      <c r="BJ10" s="91">
        <v>16.100000000000001</v>
      </c>
      <c r="BK10" s="91">
        <v>17.7</v>
      </c>
      <c r="BL10" s="91">
        <v>20.75</v>
      </c>
      <c r="BM10" s="91">
        <v>16.7</v>
      </c>
      <c r="BN10" s="91">
        <v>20.55</v>
      </c>
      <c r="BO10" s="91">
        <v>23.55</v>
      </c>
      <c r="BP10" s="91">
        <v>18.100000000000001</v>
      </c>
      <c r="BQ10" s="91">
        <f>SUM(Y10:BP10)</f>
        <v>420.58000000000004</v>
      </c>
      <c r="BR10">
        <f t="shared" ref="BR10:BR50" si="1">C10/BQ10</f>
        <v>7.133006800133149</v>
      </c>
    </row>
    <row r="11" spans="1:70">
      <c r="A11" s="35">
        <v>46032</v>
      </c>
      <c r="B11" s="7">
        <v>100126</v>
      </c>
      <c r="C11" s="7">
        <v>2750</v>
      </c>
      <c r="D11" s="7">
        <v>6.57</v>
      </c>
      <c r="E11" s="42">
        <v>0.3611111111111111</v>
      </c>
      <c r="F11" s="42">
        <v>0.43263888888888885</v>
      </c>
      <c r="G11" s="43" t="s">
        <v>365</v>
      </c>
      <c r="H11" s="7" t="s">
        <v>327</v>
      </c>
      <c r="I11" s="7">
        <v>6.57</v>
      </c>
      <c r="J11" s="7">
        <v>36.1</v>
      </c>
      <c r="K11" s="43">
        <v>60</v>
      </c>
      <c r="L11" s="42">
        <v>0.43333333333333335</v>
      </c>
      <c r="M11" s="42">
        <v>0.43958333333333338</v>
      </c>
      <c r="N11" s="43">
        <v>34.5</v>
      </c>
      <c r="O11" s="91">
        <v>6.54</v>
      </c>
      <c r="P11" s="91">
        <v>36.1</v>
      </c>
      <c r="Q11" s="42">
        <v>0.47430555555555554</v>
      </c>
      <c r="R11" s="91">
        <v>41.1</v>
      </c>
      <c r="S11" s="91">
        <v>6.06</v>
      </c>
      <c r="T11" s="42">
        <v>0.5083333333333333</v>
      </c>
      <c r="U11" s="42">
        <v>0.53125</v>
      </c>
      <c r="V11" s="42">
        <v>0.57638888888888895</v>
      </c>
      <c r="W11" s="91">
        <v>5.95</v>
      </c>
      <c r="X11" s="7">
        <v>40.6</v>
      </c>
      <c r="Y11" s="271">
        <v>6.9</v>
      </c>
      <c r="Z11" s="273">
        <v>7.1</v>
      </c>
      <c r="AA11" s="91">
        <v>6.7</v>
      </c>
      <c r="AB11" s="91">
        <v>6.6</v>
      </c>
      <c r="AC11" s="91">
        <v>7.65</v>
      </c>
      <c r="AD11" s="91">
        <v>6.8</v>
      </c>
      <c r="AE11" s="91">
        <v>6.85</v>
      </c>
      <c r="AF11" s="91">
        <v>6.65</v>
      </c>
      <c r="AG11" s="91">
        <v>6.95</v>
      </c>
      <c r="AH11" s="91">
        <v>6.65</v>
      </c>
      <c r="AI11" s="91">
        <v>7</v>
      </c>
      <c r="AJ11" s="91">
        <v>6.85</v>
      </c>
      <c r="AK11" s="91">
        <v>7.05</v>
      </c>
      <c r="AL11" s="91">
        <v>6.6</v>
      </c>
      <c r="AM11" s="91">
        <v>6.05</v>
      </c>
      <c r="AN11" s="91">
        <v>7.2</v>
      </c>
      <c r="AO11" s="91">
        <v>7</v>
      </c>
      <c r="AP11" s="91">
        <v>6.8</v>
      </c>
      <c r="AQ11" s="91">
        <v>6.65</v>
      </c>
      <c r="AR11" s="91">
        <v>7.9</v>
      </c>
      <c r="AS11" s="91">
        <v>6.65</v>
      </c>
      <c r="AT11" s="91">
        <v>6.85</v>
      </c>
      <c r="AU11" s="91">
        <v>7</v>
      </c>
      <c r="AV11" s="91">
        <v>7.6</v>
      </c>
      <c r="AW11" s="91">
        <v>6.5</v>
      </c>
      <c r="AX11" s="91">
        <v>6.85</v>
      </c>
      <c r="AY11" s="91">
        <v>6.15</v>
      </c>
      <c r="AZ11" s="91">
        <v>7.35</v>
      </c>
      <c r="BA11" s="91">
        <v>6.8</v>
      </c>
      <c r="BB11" s="91">
        <v>6.65</v>
      </c>
      <c r="BC11" s="91">
        <v>17.3</v>
      </c>
      <c r="BD11" s="91">
        <v>16.5</v>
      </c>
      <c r="BE11" s="91">
        <v>19.5</v>
      </c>
      <c r="BF11" s="91">
        <v>20.2</v>
      </c>
      <c r="BG11" s="91">
        <v>20.25</v>
      </c>
      <c r="BH11" s="91">
        <v>16.850000000000001</v>
      </c>
      <c r="BI11" s="91">
        <v>17.5</v>
      </c>
      <c r="BJ11" s="91">
        <v>15.55</v>
      </c>
      <c r="BK11" s="91">
        <v>15.8</v>
      </c>
      <c r="BL11" s="91">
        <v>16.55</v>
      </c>
      <c r="BM11" s="91"/>
      <c r="BN11" s="91"/>
      <c r="BO11" s="91"/>
      <c r="BP11" s="91"/>
      <c r="BQ11" s="91">
        <f t="shared" si="0"/>
        <v>382.35</v>
      </c>
      <c r="BR11">
        <f t="shared" si="1"/>
        <v>7.1923630181770628</v>
      </c>
    </row>
    <row r="12" spans="1:70">
      <c r="A12" s="35">
        <v>46035</v>
      </c>
      <c r="B12" s="7">
        <v>13012026</v>
      </c>
      <c r="C12" s="7">
        <v>2850</v>
      </c>
      <c r="D12" s="7">
        <v>6.9</v>
      </c>
      <c r="E12" s="7"/>
      <c r="F12" s="42">
        <v>0.55138888888888882</v>
      </c>
      <c r="G12" s="7">
        <v>50</v>
      </c>
      <c r="H12" s="7" t="s">
        <v>327</v>
      </c>
      <c r="I12" s="7">
        <v>6.66</v>
      </c>
      <c r="J12" s="7">
        <v>36.700000000000003</v>
      </c>
      <c r="K12" s="43">
        <v>250</v>
      </c>
      <c r="L12" s="42">
        <v>0.55277777777777781</v>
      </c>
      <c r="M12" s="42">
        <v>0.55902777777777779</v>
      </c>
      <c r="N12" s="43">
        <v>35</v>
      </c>
      <c r="O12" s="91">
        <v>661</v>
      </c>
      <c r="P12" s="91">
        <v>36.700000000000003</v>
      </c>
      <c r="Q12" s="42">
        <v>0.58888888888888891</v>
      </c>
      <c r="R12" s="91">
        <v>40.5</v>
      </c>
      <c r="S12" s="91">
        <v>6.6</v>
      </c>
      <c r="T12" s="42">
        <v>0.62638888888888888</v>
      </c>
      <c r="U12" s="42">
        <v>0.64930555555555558</v>
      </c>
      <c r="V12" s="42">
        <v>0.68263888888888891</v>
      </c>
      <c r="W12" s="91">
        <v>6.19</v>
      </c>
      <c r="X12" s="7">
        <v>36.5</v>
      </c>
      <c r="Y12" s="271">
        <v>22.6</v>
      </c>
      <c r="Z12" s="273">
        <v>20.8</v>
      </c>
      <c r="AA12" s="91">
        <v>24.95</v>
      </c>
      <c r="AB12" s="91">
        <v>24.65</v>
      </c>
      <c r="AC12" s="91">
        <v>23.6</v>
      </c>
      <c r="AD12" s="91">
        <v>22.15</v>
      </c>
      <c r="AE12" s="91">
        <v>24.1</v>
      </c>
      <c r="AF12" s="91">
        <v>21.35</v>
      </c>
      <c r="AG12" s="91">
        <v>25.7</v>
      </c>
      <c r="AH12" s="91">
        <v>22.6</v>
      </c>
      <c r="AI12" s="91">
        <v>22.45</v>
      </c>
      <c r="AJ12" s="91">
        <v>23.8</v>
      </c>
      <c r="AK12" s="91">
        <v>24.45</v>
      </c>
      <c r="AL12" s="91">
        <v>21.6</v>
      </c>
      <c r="AM12" s="91">
        <v>9.6999999999999993</v>
      </c>
      <c r="AN12" s="91">
        <v>22.65</v>
      </c>
      <c r="AO12" s="91">
        <v>25.4</v>
      </c>
      <c r="AP12" s="91">
        <v>23.6</v>
      </c>
      <c r="AQ12" s="91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1"/>
      <c r="BF12" s="91"/>
      <c r="BG12" s="91"/>
      <c r="BH12" s="91"/>
      <c r="BI12" s="91"/>
      <c r="BJ12" s="91"/>
      <c r="BK12" s="91"/>
      <c r="BL12" s="91"/>
      <c r="BM12" s="91"/>
      <c r="BN12" s="91"/>
      <c r="BO12" s="91"/>
      <c r="BP12" s="91"/>
      <c r="BQ12" s="91">
        <f t="shared" si="0"/>
        <v>406.14999999999992</v>
      </c>
      <c r="BR12">
        <f t="shared" si="1"/>
        <v>7.017111904468794</v>
      </c>
    </row>
    <row r="13" spans="1:70">
      <c r="A13" s="35">
        <v>46036</v>
      </c>
      <c r="B13" s="7">
        <v>14012026</v>
      </c>
      <c r="C13" s="7">
        <f>1600+1500</f>
        <v>3100</v>
      </c>
      <c r="D13" s="7" t="s">
        <v>366</v>
      </c>
      <c r="E13" s="7" t="s">
        <v>367</v>
      </c>
      <c r="F13" s="7" t="s">
        <v>368</v>
      </c>
      <c r="G13" s="7" t="s">
        <v>369</v>
      </c>
      <c r="H13" s="7" t="s">
        <v>327</v>
      </c>
      <c r="I13" s="7" t="s">
        <v>370</v>
      </c>
      <c r="J13" s="7" t="s">
        <v>371</v>
      </c>
      <c r="K13" s="42" t="s">
        <v>372</v>
      </c>
      <c r="L13" s="42" t="s">
        <v>373</v>
      </c>
      <c r="M13" s="42" t="s">
        <v>374</v>
      </c>
      <c r="N13" s="42" t="s">
        <v>375</v>
      </c>
      <c r="O13" s="91" t="s">
        <v>376</v>
      </c>
      <c r="P13" s="91" t="s">
        <v>377</v>
      </c>
      <c r="Q13" s="42" t="s">
        <v>378</v>
      </c>
      <c r="R13" s="91" t="s">
        <v>379</v>
      </c>
      <c r="S13" s="91" t="s">
        <v>380</v>
      </c>
      <c r="T13" s="42" t="s">
        <v>381</v>
      </c>
      <c r="U13" s="121" t="s">
        <v>382</v>
      </c>
      <c r="V13" s="42" t="s">
        <v>383</v>
      </c>
      <c r="W13" s="91" t="s">
        <v>384</v>
      </c>
      <c r="X13" s="42" t="s">
        <v>385</v>
      </c>
      <c r="Y13" s="271">
        <v>29.9</v>
      </c>
      <c r="Z13" s="273">
        <v>29.7</v>
      </c>
      <c r="AA13" s="91">
        <v>25.45</v>
      </c>
      <c r="AB13" s="91">
        <v>19.45</v>
      </c>
      <c r="AC13" s="91">
        <v>26.15</v>
      </c>
      <c r="AD13" s="91">
        <v>21.15</v>
      </c>
      <c r="AE13" s="91">
        <v>20.9</v>
      </c>
      <c r="AF13" s="91">
        <v>24.8</v>
      </c>
      <c r="AG13" s="91">
        <v>22.1</v>
      </c>
      <c r="AH13" s="91">
        <v>22.85</v>
      </c>
      <c r="AI13" s="91">
        <v>14.2</v>
      </c>
      <c r="AJ13" s="91">
        <v>20.55</v>
      </c>
      <c r="AK13" s="122">
        <v>19.149999999999999</v>
      </c>
      <c r="AL13" s="91">
        <v>18.7</v>
      </c>
      <c r="AM13" s="91">
        <v>21.65</v>
      </c>
      <c r="AN13" s="91">
        <v>18.25</v>
      </c>
      <c r="AO13" s="91">
        <v>16.850000000000001</v>
      </c>
      <c r="AP13" s="91">
        <v>19.75</v>
      </c>
      <c r="AQ13" s="91">
        <v>18.350000000000001</v>
      </c>
      <c r="AR13" s="91">
        <v>20.95</v>
      </c>
      <c r="AS13" s="91">
        <v>19.2</v>
      </c>
      <c r="AT13" s="91">
        <v>23.95</v>
      </c>
      <c r="AU13" s="91">
        <v>8.15</v>
      </c>
      <c r="AV13" s="91"/>
      <c r="AW13" s="91"/>
      <c r="AX13" s="91"/>
      <c r="AY13" s="91"/>
      <c r="AZ13" s="91"/>
      <c r="BA13" s="91"/>
      <c r="BB13" s="91"/>
      <c r="BC13" s="91"/>
      <c r="BD13" s="91"/>
      <c r="BE13" s="91"/>
      <c r="BF13" s="91"/>
      <c r="BG13" s="91"/>
      <c r="BH13" s="91"/>
      <c r="BI13" s="91"/>
      <c r="BJ13" s="91"/>
      <c r="BK13" s="91"/>
      <c r="BL13" s="91"/>
      <c r="BM13" s="91"/>
      <c r="BN13" s="91"/>
      <c r="BO13" s="91"/>
      <c r="BP13" s="91"/>
      <c r="BQ13" s="91">
        <f t="shared" si="0"/>
        <v>482.15</v>
      </c>
      <c r="BR13">
        <f t="shared" si="1"/>
        <v>6.4295343772684852</v>
      </c>
    </row>
    <row r="14" spans="1:70">
      <c r="A14" s="35">
        <v>46037</v>
      </c>
      <c r="B14" s="7">
        <v>15012026</v>
      </c>
      <c r="C14" s="7">
        <v>2950</v>
      </c>
      <c r="D14" s="7">
        <v>6.58</v>
      </c>
      <c r="E14" s="42">
        <v>0.4375</v>
      </c>
      <c r="F14" s="7" t="s">
        <v>386</v>
      </c>
      <c r="G14" s="43">
        <v>50</v>
      </c>
      <c r="H14" s="7" t="s">
        <v>327</v>
      </c>
      <c r="I14" s="7">
        <v>6.57</v>
      </c>
      <c r="J14" s="7">
        <v>36</v>
      </c>
      <c r="K14" s="43">
        <v>301</v>
      </c>
      <c r="L14" s="42">
        <v>0.50972222222222219</v>
      </c>
      <c r="M14" s="42">
        <v>0.51250000000000007</v>
      </c>
      <c r="N14" s="43">
        <v>48</v>
      </c>
      <c r="O14" s="91">
        <v>6.56</v>
      </c>
      <c r="P14" s="91">
        <v>36</v>
      </c>
      <c r="Q14" s="42">
        <v>0.54652777777777783</v>
      </c>
      <c r="R14" s="91">
        <v>40.9</v>
      </c>
      <c r="S14" s="91"/>
      <c r="T14" s="42">
        <v>0.58402777777777781</v>
      </c>
      <c r="U14" s="42">
        <v>0.60347222222222219</v>
      </c>
      <c r="V14" s="42">
        <v>0.68402777777777779</v>
      </c>
      <c r="W14" s="91">
        <v>5.62</v>
      </c>
      <c r="X14" s="91">
        <v>38</v>
      </c>
      <c r="Y14" s="271">
        <v>19.55</v>
      </c>
      <c r="Z14" s="273">
        <v>26.35</v>
      </c>
      <c r="AA14" s="91">
        <v>24.5</v>
      </c>
      <c r="AB14" s="91">
        <v>21.25</v>
      </c>
      <c r="AC14" s="91">
        <v>22.9</v>
      </c>
      <c r="AD14" s="91">
        <v>24.15</v>
      </c>
      <c r="AE14" s="91">
        <v>24.5</v>
      </c>
      <c r="AF14" s="91">
        <v>24.45</v>
      </c>
      <c r="AG14" s="91">
        <v>23.45</v>
      </c>
      <c r="AH14" s="91">
        <v>21.25</v>
      </c>
      <c r="AI14" s="91">
        <v>23.35</v>
      </c>
      <c r="AJ14" s="91">
        <v>23.25</v>
      </c>
      <c r="AK14" s="91">
        <v>25.45</v>
      </c>
      <c r="AL14" s="91">
        <v>20.350000000000001</v>
      </c>
      <c r="AM14" s="91">
        <v>22.45</v>
      </c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1"/>
      <c r="BF14" s="91"/>
      <c r="BG14" s="91"/>
      <c r="BH14" s="91"/>
      <c r="BI14" s="91"/>
      <c r="BJ14" s="91"/>
      <c r="BK14" s="91"/>
      <c r="BL14" s="91"/>
      <c r="BM14" s="91"/>
      <c r="BN14" s="91"/>
      <c r="BO14" s="91"/>
      <c r="BP14" s="91"/>
      <c r="BQ14" s="91">
        <f t="shared" si="0"/>
        <v>347.2</v>
      </c>
      <c r="BR14">
        <f t="shared" si="1"/>
        <v>8.4965437788018434</v>
      </c>
    </row>
    <row r="15" spans="1:70">
      <c r="A15" s="35">
        <v>46038</v>
      </c>
      <c r="B15" s="7">
        <v>16012026</v>
      </c>
      <c r="C15" s="7">
        <v>3000</v>
      </c>
      <c r="D15" s="7">
        <v>6.63</v>
      </c>
      <c r="E15" s="42">
        <v>0.375</v>
      </c>
      <c r="F15" s="42">
        <v>0.42986111111111108</v>
      </c>
      <c r="G15" s="43">
        <v>5</v>
      </c>
      <c r="H15" s="7" t="s">
        <v>327</v>
      </c>
      <c r="I15" s="7">
        <v>6.66</v>
      </c>
      <c r="J15" s="7">
        <v>335.5</v>
      </c>
      <c r="K15" s="43">
        <v>300</v>
      </c>
      <c r="L15" s="42">
        <v>0.44097222222222227</v>
      </c>
      <c r="M15" s="42">
        <v>0.45208333333333334</v>
      </c>
      <c r="N15" s="43">
        <v>42.5</v>
      </c>
      <c r="O15" s="91">
        <v>6.63</v>
      </c>
      <c r="P15" s="91">
        <v>35.700000000000003</v>
      </c>
      <c r="Q15" s="42">
        <v>0.4826388888888889</v>
      </c>
      <c r="R15" s="91">
        <v>39.9</v>
      </c>
      <c r="S15" s="91">
        <v>6.49</v>
      </c>
      <c r="T15" s="42">
        <v>0.51874999999999993</v>
      </c>
      <c r="U15" s="42">
        <v>0.54166666666666663</v>
      </c>
      <c r="V15" s="42">
        <v>0.59722222222222221</v>
      </c>
      <c r="W15" s="91">
        <v>5.77</v>
      </c>
      <c r="X15" s="91">
        <v>39</v>
      </c>
      <c r="Y15" s="271">
        <v>28.1</v>
      </c>
      <c r="Z15" s="273">
        <v>21</v>
      </c>
      <c r="AA15" s="91">
        <v>24.05</v>
      </c>
      <c r="AB15" s="91">
        <v>22.85</v>
      </c>
      <c r="AC15" s="91">
        <v>24.7</v>
      </c>
      <c r="AD15" s="91">
        <v>27.9</v>
      </c>
      <c r="AE15" s="91">
        <v>26.05</v>
      </c>
      <c r="AF15" s="91">
        <v>22.9</v>
      </c>
      <c r="AG15" s="91">
        <v>21.65</v>
      </c>
      <c r="AH15" s="91">
        <v>21.35</v>
      </c>
      <c r="AI15" s="91">
        <v>21.4</v>
      </c>
      <c r="AJ15" s="91">
        <v>21.05</v>
      </c>
      <c r="AK15" s="91">
        <v>24.55</v>
      </c>
      <c r="AL15" s="91">
        <v>17.899999999999999</v>
      </c>
      <c r="AM15" s="91">
        <v>25.25</v>
      </c>
      <c r="AN15" s="91"/>
      <c r="AO15" s="91"/>
      <c r="AP15" s="91"/>
      <c r="AQ15" s="91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1"/>
      <c r="BF15" s="91"/>
      <c r="BG15" s="91"/>
      <c r="BH15" s="91"/>
      <c r="BI15" s="91"/>
      <c r="BJ15" s="91"/>
      <c r="BK15" s="91"/>
      <c r="BL15" s="91"/>
      <c r="BM15" s="91"/>
      <c r="BN15" s="91"/>
      <c r="BO15" s="91"/>
      <c r="BP15" s="91"/>
      <c r="BQ15" s="91">
        <f t="shared" si="0"/>
        <v>350.7</v>
      </c>
      <c r="BR15">
        <f t="shared" si="1"/>
        <v>8.5543199315654412</v>
      </c>
    </row>
    <row r="16" spans="1:70">
      <c r="A16" s="35">
        <v>46039</v>
      </c>
      <c r="B16" s="7">
        <v>17012026</v>
      </c>
      <c r="C16" s="7">
        <f>1800+1300</f>
        <v>3100</v>
      </c>
      <c r="D16" s="7" t="s">
        <v>387</v>
      </c>
      <c r="E16" s="7" t="s">
        <v>388</v>
      </c>
      <c r="F16" s="7" t="s">
        <v>389</v>
      </c>
      <c r="G16" s="7" t="s">
        <v>390</v>
      </c>
      <c r="H16" s="7" t="s">
        <v>327</v>
      </c>
      <c r="I16" s="7" t="s">
        <v>387</v>
      </c>
      <c r="J16" s="7" t="s">
        <v>391</v>
      </c>
      <c r="K16" s="7" t="s">
        <v>392</v>
      </c>
      <c r="L16" s="42" t="s">
        <v>393</v>
      </c>
      <c r="M16" s="7" t="s">
        <v>394</v>
      </c>
      <c r="N16" s="7" t="s">
        <v>395</v>
      </c>
      <c r="O16" s="91" t="s">
        <v>396</v>
      </c>
      <c r="P16" s="91" t="s">
        <v>397</v>
      </c>
      <c r="Q16" s="42">
        <v>0.4375</v>
      </c>
      <c r="R16" s="91" t="s">
        <v>319</v>
      </c>
      <c r="S16" s="91"/>
      <c r="T16" s="7"/>
      <c r="U16" s="7"/>
      <c r="V16" s="42">
        <v>0.57500000000000007</v>
      </c>
      <c r="W16" s="91">
        <v>5.6</v>
      </c>
      <c r="X16" s="91">
        <v>41</v>
      </c>
      <c r="Y16" s="271">
        <v>19.899999999999999</v>
      </c>
      <c r="Z16" s="273">
        <v>21.8</v>
      </c>
      <c r="AA16" s="91">
        <v>22.9</v>
      </c>
      <c r="AB16" s="91">
        <v>19.850000000000001</v>
      </c>
      <c r="AC16" s="91">
        <v>19.75</v>
      </c>
      <c r="AD16" s="91">
        <v>24.3</v>
      </c>
      <c r="AE16" s="91">
        <v>21.25</v>
      </c>
      <c r="AF16" s="91">
        <v>26.45</v>
      </c>
      <c r="AG16" s="91">
        <v>22.65</v>
      </c>
      <c r="AH16" s="91">
        <v>23.35</v>
      </c>
      <c r="AI16" s="91">
        <v>22</v>
      </c>
      <c r="AJ16" s="91">
        <v>26.75</v>
      </c>
      <c r="AK16" s="91">
        <v>25.1</v>
      </c>
      <c r="AL16" s="91">
        <v>21.1</v>
      </c>
      <c r="AM16" s="91">
        <v>50.45</v>
      </c>
      <c r="AN16" s="91">
        <v>39.450000000000003</v>
      </c>
      <c r="AO16" s="91">
        <v>49.5</v>
      </c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>
        <f t="shared" si="0"/>
        <v>456.55</v>
      </c>
      <c r="BR16">
        <f t="shared" si="1"/>
        <v>6.7900558536852476</v>
      </c>
    </row>
    <row r="17" spans="1:70">
      <c r="A17" s="35">
        <v>46042</v>
      </c>
      <c r="B17" s="7">
        <v>20012026</v>
      </c>
      <c r="C17" s="7">
        <v>3000</v>
      </c>
      <c r="D17" s="7"/>
      <c r="E17" s="42">
        <v>0.43055555555555558</v>
      </c>
      <c r="F17" s="42">
        <v>0.46736111111111112</v>
      </c>
      <c r="G17" s="7">
        <v>50</v>
      </c>
      <c r="H17" s="7" t="s">
        <v>327</v>
      </c>
      <c r="I17" s="7">
        <v>7.28</v>
      </c>
      <c r="J17" s="7">
        <v>36</v>
      </c>
      <c r="K17" s="43">
        <v>300</v>
      </c>
      <c r="L17" s="42">
        <v>0.4694444444444445</v>
      </c>
      <c r="M17" s="42">
        <v>0.50138888888888888</v>
      </c>
      <c r="N17" s="43">
        <v>48</v>
      </c>
      <c r="O17" s="91">
        <v>7.29</v>
      </c>
      <c r="P17" s="91">
        <v>36.799999999999997</v>
      </c>
      <c r="Q17" s="42">
        <v>0.54513888888888895</v>
      </c>
      <c r="R17" s="91">
        <v>36.5</v>
      </c>
      <c r="S17" s="91">
        <v>7.2</v>
      </c>
      <c r="T17" s="42">
        <v>0.56597222222222221</v>
      </c>
      <c r="U17" s="42">
        <v>13</v>
      </c>
      <c r="V17" s="7"/>
      <c r="W17" s="91"/>
      <c r="X17" s="91"/>
      <c r="Y17" s="271">
        <v>21.85</v>
      </c>
      <c r="Z17" s="273">
        <v>23.75</v>
      </c>
      <c r="AA17" s="91">
        <v>16.649999999999999</v>
      </c>
      <c r="AB17" s="91">
        <v>21.7</v>
      </c>
      <c r="AC17" s="91">
        <v>24.35</v>
      </c>
      <c r="AD17" s="91">
        <v>25.4</v>
      </c>
      <c r="AE17" s="91">
        <v>23.6</v>
      </c>
      <c r="AF17" s="91">
        <v>24.25</v>
      </c>
      <c r="AG17" s="91">
        <v>26.7</v>
      </c>
      <c r="AH17" s="91">
        <v>24.7</v>
      </c>
      <c r="AI17" s="91">
        <v>28.6</v>
      </c>
      <c r="AJ17" s="91">
        <v>25.2</v>
      </c>
      <c r="AK17" s="91">
        <v>30.05</v>
      </c>
      <c r="AL17" s="91">
        <v>22.75</v>
      </c>
      <c r="AM17" s="91">
        <v>27.8</v>
      </c>
      <c r="AN17" s="91">
        <v>26.35</v>
      </c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>
        <f t="shared" si="0"/>
        <v>393.70000000000005</v>
      </c>
      <c r="BR17">
        <f t="shared" si="1"/>
        <v>7.6200152400304795</v>
      </c>
    </row>
    <row r="18" spans="1:70">
      <c r="A18" s="35">
        <v>46043</v>
      </c>
      <c r="B18" s="7">
        <v>21012026</v>
      </c>
      <c r="C18" s="7">
        <v>3000</v>
      </c>
      <c r="D18" s="7"/>
      <c r="E18" s="42">
        <v>0.36458333333333331</v>
      </c>
      <c r="F18" s="42">
        <v>0.41250000000000003</v>
      </c>
      <c r="G18" s="7">
        <v>50</v>
      </c>
      <c r="H18" s="7" t="s">
        <v>327</v>
      </c>
      <c r="I18" s="7"/>
      <c r="J18" s="7">
        <v>36.700000000000003</v>
      </c>
      <c r="K18" s="43">
        <v>450</v>
      </c>
      <c r="L18" s="42">
        <v>0.44166666666666665</v>
      </c>
      <c r="M18" s="42">
        <v>0.4513888888888889</v>
      </c>
      <c r="N18" s="43">
        <v>54.5</v>
      </c>
      <c r="O18" s="91"/>
      <c r="P18" s="91">
        <v>36.6</v>
      </c>
      <c r="Q18" s="42">
        <v>0.4777777777777778</v>
      </c>
      <c r="R18" s="91">
        <v>41</v>
      </c>
      <c r="S18" s="91"/>
      <c r="T18" s="42">
        <v>0.50902777777777775</v>
      </c>
      <c r="U18" s="42">
        <v>0.52777777777777779</v>
      </c>
      <c r="V18" s="42">
        <v>0.61111111111111105</v>
      </c>
      <c r="W18" s="91"/>
      <c r="X18" s="91">
        <v>43.7</v>
      </c>
      <c r="Y18" s="271">
        <v>25.45</v>
      </c>
      <c r="Z18" s="273">
        <v>24.05</v>
      </c>
      <c r="AA18" s="91">
        <v>31.05</v>
      </c>
      <c r="AB18" s="91">
        <v>25.15</v>
      </c>
      <c r="AC18" s="91">
        <v>22.7</v>
      </c>
      <c r="AD18" s="91">
        <v>25.1</v>
      </c>
      <c r="AE18" s="91">
        <v>24.85</v>
      </c>
      <c r="AF18" s="91">
        <v>34.450000000000003</v>
      </c>
      <c r="AG18" s="91">
        <v>31.6</v>
      </c>
      <c r="AH18" s="91">
        <v>24.05</v>
      </c>
      <c r="AI18" s="91">
        <v>24.05</v>
      </c>
      <c r="AJ18" s="91">
        <v>27.2</v>
      </c>
      <c r="AK18" s="91">
        <v>25.6</v>
      </c>
      <c r="AL18" s="91">
        <v>26.35</v>
      </c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>
        <f t="shared" si="0"/>
        <v>371.65</v>
      </c>
      <c r="BR18">
        <f t="shared" si="1"/>
        <v>8.072110856989104</v>
      </c>
    </row>
    <row r="19" spans="1:70">
      <c r="A19" s="35">
        <v>46044</v>
      </c>
      <c r="B19" s="7">
        <v>22012026</v>
      </c>
      <c r="C19" s="7">
        <v>2700</v>
      </c>
      <c r="D19" s="7"/>
      <c r="E19" s="42">
        <v>0.375</v>
      </c>
      <c r="F19" s="42">
        <v>0.42291666666666666</v>
      </c>
      <c r="G19" s="7">
        <v>50</v>
      </c>
      <c r="H19" s="7" t="s">
        <v>327</v>
      </c>
      <c r="I19" s="7">
        <v>6.74</v>
      </c>
      <c r="J19" s="7">
        <v>35.6</v>
      </c>
      <c r="K19" s="43">
        <v>405</v>
      </c>
      <c r="L19" s="42">
        <v>0.4381944444444445</v>
      </c>
      <c r="M19" s="42">
        <v>0.44444444444444442</v>
      </c>
      <c r="N19" s="43">
        <v>200</v>
      </c>
      <c r="O19" s="91">
        <v>6.69</v>
      </c>
      <c r="P19" s="91">
        <v>36.5</v>
      </c>
      <c r="Q19" s="42">
        <v>0.47430555555555554</v>
      </c>
      <c r="R19" s="91">
        <v>42</v>
      </c>
      <c r="S19" s="91">
        <v>6.67</v>
      </c>
      <c r="T19" s="42">
        <v>0.5</v>
      </c>
      <c r="U19" s="42">
        <v>0.52083333333333337</v>
      </c>
      <c r="V19" s="42">
        <v>0.58263888888888882</v>
      </c>
      <c r="W19" s="91">
        <v>5.8</v>
      </c>
      <c r="X19" s="91">
        <v>43.01</v>
      </c>
      <c r="Y19" s="271">
        <v>22.05</v>
      </c>
      <c r="Z19" s="273">
        <v>24</v>
      </c>
      <c r="AA19" s="91">
        <v>16.3</v>
      </c>
      <c r="AB19" s="91">
        <v>21.2</v>
      </c>
      <c r="AC19" s="91">
        <v>21.1</v>
      </c>
      <c r="AD19" s="91">
        <v>24.55</v>
      </c>
      <c r="AE19" s="91">
        <v>19.2</v>
      </c>
      <c r="AF19" s="91">
        <v>24.15</v>
      </c>
      <c r="AG19" s="91">
        <v>30</v>
      </c>
      <c r="AH19" s="91">
        <v>21.4</v>
      </c>
      <c r="AI19" s="91">
        <v>23.15</v>
      </c>
      <c r="AJ19" s="91">
        <v>25.55</v>
      </c>
      <c r="AK19" s="91">
        <v>23.95</v>
      </c>
      <c r="AL19" s="91">
        <v>22.4</v>
      </c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>
        <f t="shared" si="0"/>
        <v>319</v>
      </c>
      <c r="BR19">
        <f t="shared" si="1"/>
        <v>8.4639498432601883</v>
      </c>
    </row>
    <row r="20" spans="1:70">
      <c r="A20" s="35">
        <v>46045</v>
      </c>
      <c r="B20" s="7">
        <v>23012026</v>
      </c>
      <c r="C20" s="7">
        <v>2400</v>
      </c>
      <c r="D20" s="7"/>
      <c r="E20" s="42">
        <v>0.52083333333333337</v>
      </c>
      <c r="F20" s="42">
        <v>0.54375000000000007</v>
      </c>
      <c r="G20" s="7">
        <v>50</v>
      </c>
      <c r="H20" s="7" t="s">
        <v>327</v>
      </c>
      <c r="I20" s="7">
        <v>6.57</v>
      </c>
      <c r="J20" s="7">
        <v>34</v>
      </c>
      <c r="K20" s="43">
        <v>377</v>
      </c>
      <c r="L20" s="42">
        <v>0.54861111111111105</v>
      </c>
      <c r="M20" s="42">
        <v>0.5854166666666667</v>
      </c>
      <c r="N20" s="43">
        <v>20.5</v>
      </c>
      <c r="O20" s="91">
        <v>6.48</v>
      </c>
      <c r="P20" s="91">
        <v>36.32</v>
      </c>
      <c r="Q20" s="42">
        <v>0.61319444444444449</v>
      </c>
      <c r="R20" s="91">
        <v>40.01</v>
      </c>
      <c r="S20" s="91">
        <v>6.4</v>
      </c>
      <c r="T20" s="42">
        <v>0.64097222222222217</v>
      </c>
      <c r="U20" s="42">
        <v>0.66319444444444442</v>
      </c>
      <c r="V20" s="42">
        <v>0.71527777777777779</v>
      </c>
      <c r="W20" s="91">
        <v>5.55</v>
      </c>
      <c r="X20" s="91">
        <v>41.8</v>
      </c>
      <c r="Y20" s="271">
        <v>24.35</v>
      </c>
      <c r="Z20" s="273">
        <v>23.35</v>
      </c>
      <c r="AA20" s="91">
        <v>24.6</v>
      </c>
      <c r="AB20" s="91">
        <v>23.65</v>
      </c>
      <c r="AC20" s="91">
        <v>25.4</v>
      </c>
      <c r="AD20" s="91">
        <v>22.45</v>
      </c>
      <c r="AE20" s="91">
        <v>25.95</v>
      </c>
      <c r="AF20" s="91">
        <v>26.1</v>
      </c>
      <c r="AG20" s="91">
        <v>20.75</v>
      </c>
      <c r="AH20" s="91">
        <v>21.95</v>
      </c>
      <c r="AI20" s="91">
        <v>28.3</v>
      </c>
      <c r="AJ20" s="91">
        <v>26.15</v>
      </c>
      <c r="AK20" s="91">
        <v>26</v>
      </c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>
        <f t="shared" si="0"/>
        <v>318.99999999999994</v>
      </c>
      <c r="BR20">
        <f t="shared" si="1"/>
        <v>7.5235109717868349</v>
      </c>
    </row>
    <row r="21" spans="1:70">
      <c r="A21" s="35">
        <v>46046</v>
      </c>
      <c r="B21" s="7">
        <v>24012026</v>
      </c>
      <c r="C21" s="7"/>
      <c r="D21" s="7"/>
      <c r="E21" s="42">
        <v>0.36458333333333331</v>
      </c>
      <c r="F21" s="42">
        <v>0.39027777777777778</v>
      </c>
      <c r="G21" s="7">
        <v>50</v>
      </c>
      <c r="H21" s="7" t="s">
        <v>327</v>
      </c>
      <c r="I21" s="7">
        <v>6.64</v>
      </c>
      <c r="J21" s="7">
        <v>33.5</v>
      </c>
      <c r="K21" s="43">
        <v>310</v>
      </c>
      <c r="L21" s="42">
        <v>0.39444444444444443</v>
      </c>
      <c r="M21" s="42">
        <v>0.41666666666666669</v>
      </c>
      <c r="N21" s="43">
        <v>41.5</v>
      </c>
      <c r="O21" s="91">
        <v>6.63</v>
      </c>
      <c r="P21" s="91">
        <v>36.520000000000003</v>
      </c>
      <c r="Q21" s="42">
        <v>0.44444444444444442</v>
      </c>
      <c r="R21" s="91">
        <v>41.6</v>
      </c>
      <c r="S21" s="91">
        <v>6.61</v>
      </c>
      <c r="T21" s="42">
        <v>0.47083333333333338</v>
      </c>
      <c r="U21" s="7"/>
      <c r="V21" s="42">
        <v>0.54375000000000007</v>
      </c>
      <c r="W21" s="91">
        <v>5.89</v>
      </c>
      <c r="X21" s="91">
        <v>41.3</v>
      </c>
      <c r="Y21" s="271">
        <v>26.9</v>
      </c>
      <c r="Z21" s="273">
        <v>25.1</v>
      </c>
      <c r="AA21" s="91">
        <v>26.9</v>
      </c>
      <c r="AB21" s="91">
        <v>27.05</v>
      </c>
      <c r="AC21" s="91">
        <v>49.95</v>
      </c>
      <c r="AD21" s="91">
        <v>51.25</v>
      </c>
      <c r="AE21" s="91">
        <v>57.3</v>
      </c>
      <c r="AF21" s="91">
        <v>50.55</v>
      </c>
      <c r="AG21" s="91">
        <v>54.85</v>
      </c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>
        <f t="shared" si="0"/>
        <v>369.85</v>
      </c>
      <c r="BR21">
        <f t="shared" si="1"/>
        <v>0</v>
      </c>
    </row>
    <row r="22" spans="1:70">
      <c r="A22" s="35">
        <v>46049</v>
      </c>
      <c r="B22" s="7">
        <v>27012026</v>
      </c>
      <c r="C22" s="7">
        <v>2600</v>
      </c>
      <c r="D22" s="7"/>
      <c r="E22" s="42">
        <v>0.34722222222222227</v>
      </c>
      <c r="F22" s="42">
        <v>0.3923611111111111</v>
      </c>
      <c r="G22" s="7">
        <v>50</v>
      </c>
      <c r="H22" s="7" t="s">
        <v>327</v>
      </c>
      <c r="I22" s="7">
        <v>6.62</v>
      </c>
      <c r="J22" s="7">
        <v>33.5</v>
      </c>
      <c r="K22" s="43">
        <v>403</v>
      </c>
      <c r="L22" s="42">
        <v>0.40138888888888885</v>
      </c>
      <c r="M22" s="42">
        <v>0.41944444444444445</v>
      </c>
      <c r="N22" s="7"/>
      <c r="O22" s="91">
        <v>6.57</v>
      </c>
      <c r="P22" s="91">
        <v>36.299999999999997</v>
      </c>
      <c r="Q22" s="42">
        <v>0.44236111111111115</v>
      </c>
      <c r="R22" s="91">
        <v>40.299999999999997</v>
      </c>
      <c r="S22" s="91">
        <v>6.51</v>
      </c>
      <c r="T22" s="42">
        <v>0.47291666666666665</v>
      </c>
      <c r="U22" s="7"/>
      <c r="V22" s="42">
        <v>0.56944444444444442</v>
      </c>
      <c r="W22" s="91">
        <v>5.56</v>
      </c>
      <c r="X22" s="91">
        <v>41.3</v>
      </c>
      <c r="Y22" s="271">
        <v>28.25</v>
      </c>
      <c r="Z22" s="273">
        <v>25.4</v>
      </c>
      <c r="AA22" s="91">
        <v>25.3</v>
      </c>
      <c r="AB22" s="91">
        <v>26.7</v>
      </c>
      <c r="AC22" s="91">
        <v>25.1</v>
      </c>
      <c r="AD22" s="91">
        <v>23.7</v>
      </c>
      <c r="AE22" s="91">
        <v>23.7</v>
      </c>
      <c r="AF22" s="91">
        <v>23.1</v>
      </c>
      <c r="AG22" s="91">
        <v>25.5</v>
      </c>
      <c r="AH22" s="91">
        <v>27</v>
      </c>
      <c r="AI22" s="91">
        <v>25.8</v>
      </c>
      <c r="AJ22" s="91">
        <v>26.6</v>
      </c>
      <c r="AK22" s="91">
        <v>25.25</v>
      </c>
      <c r="AL22" s="91">
        <v>22</v>
      </c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1"/>
      <c r="BF22" s="91"/>
      <c r="BG22" s="91"/>
      <c r="BH22" s="91"/>
      <c r="BI22" s="91"/>
      <c r="BJ22" s="91"/>
      <c r="BK22" s="91"/>
      <c r="BL22" s="91"/>
      <c r="BM22" s="91"/>
      <c r="BN22" s="91"/>
      <c r="BO22" s="91"/>
      <c r="BP22" s="91"/>
      <c r="BQ22" s="91">
        <f t="shared" si="0"/>
        <v>353.4</v>
      </c>
      <c r="BR22">
        <f t="shared" si="1"/>
        <v>7.3571024335031128</v>
      </c>
    </row>
    <row r="23" spans="1:70">
      <c r="A23" s="35">
        <v>46050</v>
      </c>
      <c r="B23" s="7">
        <v>280126</v>
      </c>
      <c r="C23" s="7">
        <v>2600</v>
      </c>
      <c r="D23" s="7"/>
      <c r="E23" s="42">
        <v>0.45833333333333331</v>
      </c>
      <c r="F23" s="42">
        <v>0.48055555555555557</v>
      </c>
      <c r="G23" s="7">
        <v>50</v>
      </c>
      <c r="H23" s="7" t="s">
        <v>327</v>
      </c>
      <c r="I23" s="7">
        <v>6.67</v>
      </c>
      <c r="J23" s="7">
        <v>34.299999999999997</v>
      </c>
      <c r="K23" s="7"/>
      <c r="L23" s="42">
        <v>0.48958333333333331</v>
      </c>
      <c r="M23" s="42">
        <v>0.51041666666666663</v>
      </c>
      <c r="N23" s="43">
        <v>39.5</v>
      </c>
      <c r="O23" s="91">
        <v>6.6</v>
      </c>
      <c r="P23" s="91">
        <v>36.4</v>
      </c>
      <c r="Q23" s="42">
        <v>0.53819444444444442</v>
      </c>
      <c r="R23" s="91">
        <v>41.4</v>
      </c>
      <c r="S23" s="91">
        <v>6.57</v>
      </c>
      <c r="T23" s="42">
        <v>0.52777777777777779</v>
      </c>
      <c r="U23" s="42">
        <v>0.59027777777777779</v>
      </c>
      <c r="V23" s="7"/>
      <c r="W23" s="91">
        <v>5.68</v>
      </c>
      <c r="X23" s="91">
        <v>42.6</v>
      </c>
      <c r="Y23" s="271">
        <v>23.25</v>
      </c>
      <c r="Z23" s="273">
        <v>24.75</v>
      </c>
      <c r="AA23" s="91">
        <v>23.95</v>
      </c>
      <c r="AB23" s="91">
        <v>25.4</v>
      </c>
      <c r="AC23" s="91">
        <v>24.6</v>
      </c>
      <c r="AD23" s="91">
        <v>21.9</v>
      </c>
      <c r="AE23" s="91">
        <v>24.2</v>
      </c>
      <c r="AF23" s="91">
        <v>26</v>
      </c>
      <c r="AG23" s="91">
        <v>25.95</v>
      </c>
      <c r="AH23" s="91">
        <v>25.6</v>
      </c>
      <c r="AI23" s="91">
        <v>23.8</v>
      </c>
      <c r="AJ23" s="91">
        <v>22.95</v>
      </c>
      <c r="AK23" s="91">
        <v>26.7</v>
      </c>
      <c r="AL23" s="91">
        <v>24.75</v>
      </c>
      <c r="AM23" s="91"/>
      <c r="AN23" s="91"/>
      <c r="AO23" s="91"/>
      <c r="AP23" s="91"/>
      <c r="AQ23" s="91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1"/>
      <c r="BF23" s="91"/>
      <c r="BG23" s="91"/>
      <c r="BH23" s="91"/>
      <c r="BI23" s="91"/>
      <c r="BJ23" s="91"/>
      <c r="BK23" s="91"/>
      <c r="BL23" s="91"/>
      <c r="BM23" s="91"/>
      <c r="BN23" s="91"/>
      <c r="BO23" s="91"/>
      <c r="BP23" s="91"/>
      <c r="BQ23" s="91">
        <f t="shared" si="0"/>
        <v>343.79999999999995</v>
      </c>
      <c r="BR23">
        <f t="shared" si="1"/>
        <v>7.5625363583478773</v>
      </c>
    </row>
    <row r="24" spans="1:70">
      <c r="A24" s="35">
        <v>46051</v>
      </c>
      <c r="B24" s="7">
        <v>290126</v>
      </c>
      <c r="C24" s="7">
        <v>2400</v>
      </c>
      <c r="D24" s="7"/>
      <c r="E24" s="42">
        <v>0.3611111111111111</v>
      </c>
      <c r="F24" s="42">
        <v>0.4236111111111111</v>
      </c>
      <c r="G24" s="7">
        <v>75</v>
      </c>
      <c r="H24" s="7" t="s">
        <v>327</v>
      </c>
      <c r="I24" s="7">
        <v>6.72</v>
      </c>
      <c r="J24" s="7">
        <v>33.01</v>
      </c>
      <c r="K24" s="43">
        <v>180</v>
      </c>
      <c r="L24" s="42">
        <v>0.43958333333333338</v>
      </c>
      <c r="M24" s="42">
        <v>0.4513888888888889</v>
      </c>
      <c r="N24" s="43">
        <v>64</v>
      </c>
      <c r="O24" s="91">
        <v>6.68</v>
      </c>
      <c r="P24" s="91">
        <v>35.5</v>
      </c>
      <c r="Q24" s="42">
        <v>0.48055555555555557</v>
      </c>
      <c r="R24" s="91">
        <v>40.5</v>
      </c>
      <c r="S24" s="91">
        <v>6.58</v>
      </c>
      <c r="T24" s="42">
        <v>0.50555555555555554</v>
      </c>
      <c r="U24" s="7"/>
      <c r="V24" s="42">
        <v>0.76041666666666663</v>
      </c>
      <c r="W24" s="91">
        <v>6.47</v>
      </c>
      <c r="X24" s="91">
        <v>30</v>
      </c>
      <c r="Y24" s="271">
        <v>376.85</v>
      </c>
      <c r="Z24" s="273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1"/>
      <c r="BF24" s="91"/>
      <c r="BG24" s="91"/>
      <c r="BH24" s="91"/>
      <c r="BI24" s="91"/>
      <c r="BJ24" s="91"/>
      <c r="BK24" s="91"/>
      <c r="BL24" s="91"/>
      <c r="BM24" s="91"/>
      <c r="BN24" s="91"/>
      <c r="BO24" s="91"/>
      <c r="BP24" s="91"/>
      <c r="BQ24" s="91">
        <f t="shared" si="0"/>
        <v>376.85</v>
      </c>
      <c r="BR24">
        <f t="shared" si="1"/>
        <v>6.368581663791959</v>
      </c>
    </row>
    <row r="25" spans="1:70">
      <c r="A25" s="35">
        <v>46052</v>
      </c>
      <c r="B25" s="7">
        <v>300126</v>
      </c>
      <c r="C25" s="7">
        <v>2150</v>
      </c>
      <c r="D25" s="7"/>
      <c r="E25" s="42">
        <v>0.35000000000000003</v>
      </c>
      <c r="F25" s="42">
        <v>0.43888888888888888</v>
      </c>
      <c r="G25" s="7">
        <v>50</v>
      </c>
      <c r="H25" s="7" t="s">
        <v>327</v>
      </c>
      <c r="I25" s="7">
        <v>7.64</v>
      </c>
      <c r="J25" s="7">
        <v>32.22</v>
      </c>
      <c r="K25" s="43" t="s">
        <v>408</v>
      </c>
      <c r="L25" s="42">
        <v>0.40902777777777777</v>
      </c>
      <c r="M25" s="42">
        <v>0.41736111111111113</v>
      </c>
      <c r="N25" s="43">
        <v>35</v>
      </c>
      <c r="O25" s="91">
        <v>7.57</v>
      </c>
      <c r="P25" s="91">
        <v>36.5</v>
      </c>
      <c r="Q25" s="42">
        <v>0.44930555555555557</v>
      </c>
      <c r="R25" s="91">
        <v>40.700000000000003</v>
      </c>
      <c r="S25" s="91">
        <v>7.5</v>
      </c>
      <c r="T25" s="42">
        <v>0.44097222222222227</v>
      </c>
      <c r="U25" s="42">
        <v>0.47222222222222227</v>
      </c>
      <c r="V25" s="42">
        <v>0.5708333333333333</v>
      </c>
      <c r="W25" s="91">
        <v>6.77</v>
      </c>
      <c r="X25" s="91">
        <v>42.1</v>
      </c>
      <c r="Y25" s="271">
        <v>24.15</v>
      </c>
      <c r="Z25" s="273">
        <v>20.664999999999999</v>
      </c>
      <c r="AA25" s="91">
        <v>17.850000000000001</v>
      </c>
      <c r="AB25" s="91">
        <v>22.65</v>
      </c>
      <c r="AC25" s="91">
        <v>20.6</v>
      </c>
      <c r="AD25" s="91">
        <v>18.100000000000001</v>
      </c>
      <c r="AE25" s="91">
        <v>23.55</v>
      </c>
      <c r="AF25" s="91">
        <v>23.7</v>
      </c>
      <c r="AG25" s="91">
        <v>24.3</v>
      </c>
      <c r="AH25" s="91">
        <v>24.55</v>
      </c>
      <c r="AI25" s="91">
        <v>25.6</v>
      </c>
      <c r="AJ25" s="91">
        <v>6.85</v>
      </c>
      <c r="AK25" s="91">
        <v>6.45</v>
      </c>
      <c r="AL25" s="91">
        <v>7.05</v>
      </c>
      <c r="AM25" s="91">
        <v>3.85</v>
      </c>
      <c r="AN25" s="91">
        <v>6.65</v>
      </c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1"/>
      <c r="BF25" s="91"/>
      <c r="BG25" s="91"/>
      <c r="BH25" s="91"/>
      <c r="BI25" s="91"/>
      <c r="BJ25" s="91"/>
      <c r="BK25" s="91"/>
      <c r="BL25" s="91"/>
      <c r="BM25" s="91"/>
      <c r="BN25" s="91"/>
      <c r="BO25" s="91"/>
      <c r="BP25" s="91"/>
      <c r="BQ25" s="91">
        <f>SUM(Y25:BP25)</f>
        <v>276.565</v>
      </c>
      <c r="BR25">
        <f t="shared" si="1"/>
        <v>7.7739410265217943</v>
      </c>
    </row>
    <row r="26" spans="1:70">
      <c r="A26" s="35">
        <v>46053</v>
      </c>
      <c r="B26" s="7">
        <v>310126</v>
      </c>
      <c r="C26" s="7">
        <v>2500</v>
      </c>
      <c r="D26" s="7"/>
      <c r="E26" s="42">
        <v>0.31805555555555554</v>
      </c>
      <c r="F26" s="42">
        <v>0.37291666666666662</v>
      </c>
      <c r="G26" s="7">
        <v>50</v>
      </c>
      <c r="H26" s="123" t="s">
        <v>327</v>
      </c>
      <c r="I26" s="7">
        <v>6.63</v>
      </c>
      <c r="J26" s="7">
        <v>31</v>
      </c>
      <c r="K26" s="43">
        <v>440</v>
      </c>
      <c r="L26" s="42">
        <v>0.3743055555555555</v>
      </c>
      <c r="M26" s="42">
        <v>0.38541666666666669</v>
      </c>
      <c r="N26" s="43">
        <v>38.5</v>
      </c>
      <c r="O26" s="91">
        <v>6.46</v>
      </c>
      <c r="P26" s="91">
        <v>36.6</v>
      </c>
      <c r="Q26" s="42">
        <v>0.41388888888888892</v>
      </c>
      <c r="R26" s="91">
        <v>41.4</v>
      </c>
      <c r="S26" s="91">
        <v>6.4</v>
      </c>
      <c r="T26" s="42">
        <v>0.4513888888888889</v>
      </c>
      <c r="U26" s="42">
        <v>0.47569444444444442</v>
      </c>
      <c r="V26" s="42">
        <v>0.5</v>
      </c>
      <c r="W26" s="91">
        <v>5.78</v>
      </c>
      <c r="X26" s="91">
        <v>41.2</v>
      </c>
      <c r="Y26" s="271">
        <v>26.5</v>
      </c>
      <c r="Z26" s="273">
        <v>27.35</v>
      </c>
      <c r="AA26" s="91">
        <v>26</v>
      </c>
      <c r="AB26" s="91">
        <v>24.35</v>
      </c>
      <c r="AC26" s="91">
        <v>22.6</v>
      </c>
      <c r="AD26" s="91">
        <v>14.7</v>
      </c>
      <c r="AE26" s="91">
        <v>22.05</v>
      </c>
      <c r="AF26" s="91">
        <v>30.8</v>
      </c>
      <c r="AG26" s="91">
        <v>25.5</v>
      </c>
      <c r="AH26" s="91">
        <v>20.85</v>
      </c>
      <c r="AI26" s="91">
        <v>27.95</v>
      </c>
      <c r="AJ26" s="91">
        <v>25.36</v>
      </c>
      <c r="AK26" s="91">
        <v>24.75</v>
      </c>
      <c r="AL26" s="91">
        <v>23.65</v>
      </c>
      <c r="AM26" s="91"/>
      <c r="AN26" s="91"/>
      <c r="AO26" s="91"/>
      <c r="AP26" s="91"/>
      <c r="AQ26" s="91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1"/>
      <c r="BF26" s="91"/>
      <c r="BG26" s="91"/>
      <c r="BH26" s="91"/>
      <c r="BI26" s="91"/>
      <c r="BJ26" s="91"/>
      <c r="BK26" s="91"/>
      <c r="BL26" s="91"/>
      <c r="BM26" s="91"/>
      <c r="BN26" s="91"/>
      <c r="BO26" s="91"/>
      <c r="BP26" s="91"/>
      <c r="BQ26" s="91">
        <f>SUM(Y26:BP26)</f>
        <v>342.40999999999997</v>
      </c>
      <c r="BR26">
        <f t="shared" si="1"/>
        <v>7.3011886335095362</v>
      </c>
    </row>
    <row r="27" spans="1:70">
      <c r="A27" s="35">
        <v>46056</v>
      </c>
      <c r="B27" s="7">
        <v>30226</v>
      </c>
      <c r="C27" s="7">
        <v>2600</v>
      </c>
      <c r="D27" s="7"/>
      <c r="E27" s="42">
        <v>0.41111111111111098</v>
      </c>
      <c r="F27" s="42">
        <v>0.44583333333333303</v>
      </c>
      <c r="G27" s="211">
        <v>50</v>
      </c>
      <c r="H27" s="7" t="s">
        <v>327</v>
      </c>
      <c r="I27" s="7">
        <v>6.46</v>
      </c>
      <c r="J27" s="7">
        <v>30</v>
      </c>
      <c r="K27" s="43">
        <v>520.5</v>
      </c>
      <c r="L27" s="42">
        <v>0.46111111111111103</v>
      </c>
      <c r="M27" s="42">
        <v>0.47708333333333303</v>
      </c>
      <c r="N27" s="43">
        <v>41</v>
      </c>
      <c r="O27" s="91">
        <v>5.69</v>
      </c>
      <c r="P27" s="91">
        <v>36.6</v>
      </c>
      <c r="Q27" s="42">
        <v>0.50555555555555598</v>
      </c>
      <c r="R27" s="91">
        <v>40.799999999999997</v>
      </c>
      <c r="S27" s="91">
        <v>5.17</v>
      </c>
      <c r="T27" s="42">
        <v>0.53611111111111098</v>
      </c>
      <c r="U27" s="42">
        <v>0.5625</v>
      </c>
      <c r="V27" s="42">
        <v>0.60763888888888895</v>
      </c>
      <c r="W27" s="91"/>
      <c r="X27" s="7">
        <v>41.7</v>
      </c>
      <c r="Y27" s="271">
        <v>28.6</v>
      </c>
      <c r="Z27" s="273">
        <v>25.1</v>
      </c>
      <c r="AA27" s="91">
        <v>26.75</v>
      </c>
      <c r="AB27" s="91">
        <v>23.9</v>
      </c>
      <c r="AC27" s="91">
        <v>22.45</v>
      </c>
      <c r="AD27" s="91">
        <v>26.75</v>
      </c>
      <c r="AE27" s="91">
        <v>23.9</v>
      </c>
      <c r="AF27" s="91">
        <v>21.95</v>
      </c>
      <c r="AG27" s="91">
        <v>26.3</v>
      </c>
      <c r="AH27" s="91">
        <v>23.9</v>
      </c>
      <c r="AI27" s="91">
        <v>25.55</v>
      </c>
      <c r="AJ27" s="91">
        <v>21.85</v>
      </c>
      <c r="AK27" s="91">
        <v>22.5</v>
      </c>
      <c r="AL27" s="91">
        <v>25.8</v>
      </c>
      <c r="AM27" s="91"/>
      <c r="AN27" s="91"/>
      <c r="AO27" s="91"/>
      <c r="AP27" s="91"/>
      <c r="AQ27" s="91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1"/>
      <c r="BF27" s="91"/>
      <c r="BG27" s="91"/>
      <c r="BH27" s="91"/>
      <c r="BI27" s="91"/>
      <c r="BJ27" s="91"/>
      <c r="BK27" s="91"/>
      <c r="BL27" s="91"/>
      <c r="BM27" s="91"/>
      <c r="BN27" s="91"/>
      <c r="BO27" s="91"/>
      <c r="BP27" s="91"/>
      <c r="BQ27" s="91">
        <f t="shared" si="0"/>
        <v>345.30000000000007</v>
      </c>
      <c r="BR27">
        <f t="shared" si="1"/>
        <v>7.5296843324645222</v>
      </c>
    </row>
    <row r="28" spans="1:70">
      <c r="A28" s="35">
        <v>46057</v>
      </c>
      <c r="B28" s="7">
        <v>40226</v>
      </c>
      <c r="C28" s="7">
        <v>2500</v>
      </c>
      <c r="D28" s="7"/>
      <c r="E28" s="7"/>
      <c r="F28" s="42">
        <v>0.34513888888888899</v>
      </c>
      <c r="G28" s="211">
        <v>50</v>
      </c>
      <c r="H28" s="7" t="s">
        <v>327</v>
      </c>
      <c r="I28" s="7"/>
      <c r="J28" s="7">
        <v>33.200000000000003</v>
      </c>
      <c r="K28" s="43">
        <v>500</v>
      </c>
      <c r="L28" s="42">
        <v>0.38124999999999998</v>
      </c>
      <c r="M28" s="42">
        <v>0.40486111111111101</v>
      </c>
      <c r="N28" s="43">
        <v>41.5</v>
      </c>
      <c r="O28" s="91"/>
      <c r="P28" s="91">
        <v>36.6</v>
      </c>
      <c r="Q28" s="42">
        <v>0.43263888888888902</v>
      </c>
      <c r="R28" s="91">
        <v>36.4</v>
      </c>
      <c r="S28" s="91"/>
      <c r="T28" s="42">
        <v>0.46666666666666701</v>
      </c>
      <c r="U28" s="42">
        <v>0.51388888888888895</v>
      </c>
      <c r="V28" s="42">
        <v>0.58333333333333304</v>
      </c>
      <c r="W28" s="91"/>
      <c r="X28" s="7">
        <v>40.200000000000003</v>
      </c>
      <c r="Y28" s="271">
        <v>74.349999999999994</v>
      </c>
      <c r="Z28" s="273">
        <v>75.55</v>
      </c>
      <c r="AA28" s="91">
        <v>48</v>
      </c>
      <c r="AB28" s="91">
        <v>45.55</v>
      </c>
      <c r="AC28" s="91">
        <v>48.1</v>
      </c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1"/>
      <c r="BF28" s="91"/>
      <c r="BG28" s="91"/>
      <c r="BH28" s="91"/>
      <c r="BI28" s="91"/>
      <c r="BJ28" s="91"/>
      <c r="BK28" s="91"/>
      <c r="BL28" s="91"/>
      <c r="BM28" s="91"/>
      <c r="BN28" s="91"/>
      <c r="BO28" s="91"/>
      <c r="BP28" s="91"/>
      <c r="BQ28" s="91">
        <f>SUM(Y28:BP28)</f>
        <v>291.55</v>
      </c>
      <c r="BR28">
        <f t="shared" si="1"/>
        <v>8.5748585148345047</v>
      </c>
    </row>
    <row r="29" spans="1:70">
      <c r="A29" s="35">
        <v>46058</v>
      </c>
      <c r="B29" s="7">
        <v>50226</v>
      </c>
      <c r="C29" s="7">
        <v>2700</v>
      </c>
      <c r="D29" s="7"/>
      <c r="E29" s="42">
        <v>0.38194444444444442</v>
      </c>
      <c r="F29" s="42">
        <v>0.43888888888888888</v>
      </c>
      <c r="G29" s="211">
        <v>50</v>
      </c>
      <c r="H29" s="7" t="s">
        <v>327</v>
      </c>
      <c r="I29" s="7"/>
      <c r="J29" s="7">
        <v>36.6</v>
      </c>
      <c r="K29" s="43">
        <v>520</v>
      </c>
      <c r="L29" s="42">
        <v>0.44097222222222227</v>
      </c>
      <c r="M29" s="42">
        <v>0.44444444444444442</v>
      </c>
      <c r="N29" s="43">
        <v>76</v>
      </c>
      <c r="O29" s="91"/>
      <c r="P29" s="91">
        <v>36.6</v>
      </c>
      <c r="Q29" s="42">
        <v>0.45833333333333331</v>
      </c>
      <c r="R29" s="91">
        <v>40.299999999999997</v>
      </c>
      <c r="S29" s="91"/>
      <c r="T29" s="42">
        <v>0.4826388888888889</v>
      </c>
      <c r="U29" s="7"/>
      <c r="V29" s="7"/>
      <c r="W29" s="91"/>
      <c r="X29" s="7"/>
      <c r="Y29" s="271"/>
      <c r="Z29" s="273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1"/>
      <c r="BF29" s="91"/>
      <c r="BG29" s="91"/>
      <c r="BH29" s="91"/>
      <c r="BI29" s="91"/>
      <c r="BJ29" s="91"/>
      <c r="BK29" s="91"/>
      <c r="BL29" s="91"/>
      <c r="BM29" s="91"/>
      <c r="BN29" s="91"/>
      <c r="BO29" s="91"/>
      <c r="BP29" s="91"/>
      <c r="BQ29" s="91">
        <f>SUM(Y29:BP29)</f>
        <v>0</v>
      </c>
      <c r="BR29" t="e">
        <f t="shared" si="1"/>
        <v>#DIV/0!</v>
      </c>
    </row>
    <row r="30" spans="1:70">
      <c r="A30" s="35">
        <v>46059</v>
      </c>
      <c r="B30" s="7">
        <v>60226</v>
      </c>
      <c r="C30" s="7">
        <v>2600</v>
      </c>
      <c r="D30" s="7"/>
      <c r="E30" s="42">
        <v>0.32777777777777778</v>
      </c>
      <c r="F30" s="42">
        <v>0.37013888888888885</v>
      </c>
      <c r="G30" s="250" t="s">
        <v>399</v>
      </c>
      <c r="H30" s="123" t="s">
        <v>398</v>
      </c>
      <c r="I30" s="7"/>
      <c r="J30" s="7">
        <v>34.4</v>
      </c>
      <c r="K30" s="43">
        <v>500</v>
      </c>
      <c r="L30" s="42">
        <v>0.37222222222222223</v>
      </c>
      <c r="M30" s="42">
        <v>0.37361111111111112</v>
      </c>
      <c r="N30" s="43">
        <v>79.5</v>
      </c>
      <c r="O30" s="91"/>
      <c r="P30" s="91">
        <v>36.5</v>
      </c>
      <c r="Q30" s="42">
        <v>0.38750000000000001</v>
      </c>
      <c r="R30" s="91">
        <v>40.4</v>
      </c>
      <c r="S30" s="91"/>
      <c r="T30" s="42">
        <v>0.41388888888888892</v>
      </c>
      <c r="U30" s="7"/>
      <c r="V30" s="7"/>
      <c r="W30" s="91"/>
      <c r="X30" s="7"/>
      <c r="Y30" s="271">
        <f>22.35+23.25+21.8+21.5+21.9+22.2+22.05+21.3+21.5+22.45+21.45+22.3</f>
        <v>264.05</v>
      </c>
      <c r="Z30" s="273">
        <f>45.15+16.4</f>
        <v>61.55</v>
      </c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1"/>
      <c r="BF30" s="91"/>
      <c r="BG30" s="91"/>
      <c r="BH30" s="91"/>
      <c r="BI30" s="91"/>
      <c r="BJ30" s="91"/>
      <c r="BK30" s="91"/>
      <c r="BL30" s="91"/>
      <c r="BM30" s="91"/>
      <c r="BN30" s="91"/>
      <c r="BO30" s="91"/>
      <c r="BP30" s="91"/>
      <c r="BQ30" s="91">
        <f>SUM(Y30:BP30)</f>
        <v>325.60000000000002</v>
      </c>
      <c r="BR30">
        <f t="shared" si="1"/>
        <v>7.9852579852579844</v>
      </c>
    </row>
    <row r="31" spans="1:70">
      <c r="A31" s="35">
        <v>46060</v>
      </c>
      <c r="B31" s="7">
        <v>70226</v>
      </c>
      <c r="C31" s="7">
        <v>2600</v>
      </c>
      <c r="D31" s="7"/>
      <c r="E31" s="42">
        <v>0.32500000000000001</v>
      </c>
      <c r="F31" s="42">
        <v>0.37291666666666662</v>
      </c>
      <c r="G31" s="211">
        <v>2</v>
      </c>
      <c r="H31" s="7" t="s">
        <v>327</v>
      </c>
      <c r="I31" s="7"/>
      <c r="J31" s="7">
        <v>32.4</v>
      </c>
      <c r="K31" s="43">
        <v>500</v>
      </c>
      <c r="L31" s="42">
        <v>0.375</v>
      </c>
      <c r="M31" s="42">
        <v>0.38194444444444442</v>
      </c>
      <c r="N31" s="43">
        <v>80</v>
      </c>
      <c r="O31" s="91"/>
      <c r="P31" s="91">
        <v>36.4</v>
      </c>
      <c r="Q31" s="42">
        <v>0.39583333333333331</v>
      </c>
      <c r="R31" s="91">
        <v>40.299999999999997</v>
      </c>
      <c r="S31" s="91"/>
      <c r="T31" s="42">
        <v>0.4201388888888889</v>
      </c>
      <c r="U31" s="42">
        <v>0.44791666666666669</v>
      </c>
      <c r="V31" s="42"/>
      <c r="W31" s="209"/>
      <c r="X31" s="7"/>
      <c r="Y31" s="271">
        <f>114.55+132.65</f>
        <v>247.2</v>
      </c>
      <c r="Z31" s="273">
        <f>43.7</f>
        <v>43.7</v>
      </c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1"/>
      <c r="BF31" s="91"/>
      <c r="BG31" s="91"/>
      <c r="BH31" s="91"/>
      <c r="BI31" s="91"/>
      <c r="BJ31" s="91"/>
      <c r="BK31" s="91"/>
      <c r="BL31" s="91"/>
      <c r="BM31" s="91"/>
      <c r="BN31" s="91"/>
      <c r="BO31" s="91"/>
      <c r="BP31" s="91"/>
      <c r="BQ31" s="91">
        <f t="shared" si="0"/>
        <v>290.89999999999998</v>
      </c>
      <c r="BR31">
        <f t="shared" si="1"/>
        <v>8.9377793056032999</v>
      </c>
    </row>
    <row r="32" spans="1:70">
      <c r="A32" s="35">
        <v>46063</v>
      </c>
      <c r="B32" s="7">
        <v>100226</v>
      </c>
      <c r="C32" s="7">
        <v>2300</v>
      </c>
      <c r="D32" s="7"/>
      <c r="E32" s="42">
        <v>0.33680555555555558</v>
      </c>
      <c r="F32" s="42">
        <v>0.38194444444444442</v>
      </c>
      <c r="G32" s="211">
        <v>1</v>
      </c>
      <c r="H32" s="7" t="s">
        <v>327</v>
      </c>
      <c r="I32" s="7"/>
      <c r="J32" s="7">
        <v>31.2</v>
      </c>
      <c r="K32" s="43">
        <v>460</v>
      </c>
      <c r="L32" s="42">
        <v>0.38958333333333334</v>
      </c>
      <c r="M32" s="42">
        <v>0.39652777777777781</v>
      </c>
      <c r="N32" s="43">
        <v>42.5</v>
      </c>
      <c r="O32" s="91"/>
      <c r="P32" s="91">
        <v>36.6</v>
      </c>
      <c r="Q32" s="42">
        <v>0.39583333333333331</v>
      </c>
      <c r="R32" s="91">
        <v>40.1</v>
      </c>
      <c r="S32" s="91"/>
      <c r="T32" s="42">
        <v>0.45069444444444445</v>
      </c>
      <c r="U32" s="42">
        <v>0.46527777777777773</v>
      </c>
      <c r="V32" s="42">
        <v>0.68055555555555547</v>
      </c>
      <c r="W32" s="209"/>
      <c r="X32" s="7">
        <v>35.4</v>
      </c>
      <c r="Y32" s="271">
        <f>28.45+28.4+29.3+26.1+29.4+19.65+61.65+99.55</f>
        <v>322.5</v>
      </c>
      <c r="Z32" s="273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1"/>
      <c r="BF32" s="91"/>
      <c r="BG32" s="91"/>
      <c r="BH32" s="91"/>
      <c r="BI32" s="91"/>
      <c r="BJ32" s="91"/>
      <c r="BK32" s="91"/>
      <c r="BL32" s="91"/>
      <c r="BM32" s="91"/>
      <c r="BN32" s="91"/>
      <c r="BO32" s="91"/>
      <c r="BP32" s="91"/>
      <c r="BQ32" s="91">
        <f>SUM(Y32:BP32)</f>
        <v>322.5</v>
      </c>
      <c r="BR32">
        <f t="shared" si="1"/>
        <v>7.1317829457364343</v>
      </c>
    </row>
    <row r="33" spans="1:70">
      <c r="A33" s="35">
        <v>46064</v>
      </c>
      <c r="B33" s="7">
        <v>110226</v>
      </c>
      <c r="C33" s="7">
        <v>2500</v>
      </c>
      <c r="D33" s="7"/>
      <c r="E33" s="42">
        <v>0.3430555555555555</v>
      </c>
      <c r="F33" s="42">
        <v>0.39513888888888887</v>
      </c>
      <c r="G33" s="211">
        <v>1</v>
      </c>
      <c r="H33" s="7" t="s">
        <v>327</v>
      </c>
      <c r="I33" s="7"/>
      <c r="J33" s="7">
        <v>31.1</v>
      </c>
      <c r="K33" s="43">
        <v>500</v>
      </c>
      <c r="L33" s="42">
        <v>0.39652777777777781</v>
      </c>
      <c r="M33" s="42">
        <v>0.41111111111111115</v>
      </c>
      <c r="N33" s="43">
        <v>50</v>
      </c>
      <c r="O33" s="91"/>
      <c r="P33" s="91">
        <v>36.5</v>
      </c>
      <c r="Q33" s="42">
        <v>0.43958333333333338</v>
      </c>
      <c r="R33" s="91">
        <v>40.1</v>
      </c>
      <c r="S33" s="91"/>
      <c r="T33" s="42">
        <v>0.4826388888888889</v>
      </c>
      <c r="U33" s="42">
        <v>0.57500000000000007</v>
      </c>
      <c r="V33" s="7"/>
      <c r="W33" s="209"/>
      <c r="X33" s="7"/>
      <c r="Y33" s="271">
        <f>20.95+20.7+20.6+20.95+20.6+19.4+21.5+21.9+20.7+19.45+20.75+21.45+6.75</f>
        <v>255.7</v>
      </c>
      <c r="Z33" s="273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1"/>
      <c r="BF33" s="91"/>
      <c r="BG33" s="91"/>
      <c r="BH33" s="91"/>
      <c r="BI33" s="91"/>
      <c r="BJ33" s="91"/>
      <c r="BK33" s="91"/>
      <c r="BL33" s="91"/>
      <c r="BM33" s="91"/>
      <c r="BN33" s="91"/>
      <c r="BO33" s="91"/>
      <c r="BP33" s="91"/>
      <c r="BQ33" s="91">
        <f t="shared" ref="BQ33:BQ38" si="2">SUM(Y33:BP33)</f>
        <v>255.7</v>
      </c>
      <c r="BR33">
        <f t="shared" si="1"/>
        <v>9.7770825185764565</v>
      </c>
    </row>
    <row r="34" spans="1:70">
      <c r="A34" s="35">
        <v>46065</v>
      </c>
      <c r="B34" s="7">
        <v>120226</v>
      </c>
      <c r="C34" s="7">
        <v>2300</v>
      </c>
      <c r="D34" s="7"/>
      <c r="E34" s="42">
        <v>0.34166666666666662</v>
      </c>
      <c r="F34" s="42">
        <v>0.3972222222222222</v>
      </c>
      <c r="G34" s="211">
        <v>1</v>
      </c>
      <c r="H34" s="7" t="s">
        <v>327</v>
      </c>
      <c r="I34" s="7"/>
      <c r="J34" s="7">
        <v>35.200000000000003</v>
      </c>
      <c r="K34" s="43">
        <v>480</v>
      </c>
      <c r="L34" s="42">
        <v>0.3979166666666667</v>
      </c>
      <c r="M34" s="42">
        <v>0.40277777777777773</v>
      </c>
      <c r="N34" s="43">
        <v>48</v>
      </c>
      <c r="O34" s="91"/>
      <c r="P34" s="91">
        <v>36.4</v>
      </c>
      <c r="Q34" s="42">
        <v>0.44097222222222227</v>
      </c>
      <c r="R34" s="91">
        <v>40.200000000000003</v>
      </c>
      <c r="S34" s="91"/>
      <c r="T34" s="42">
        <v>0.45347222222222222</v>
      </c>
      <c r="U34" s="42">
        <v>0.47916666666666669</v>
      </c>
      <c r="V34" s="42">
        <v>0.63888888888888895</v>
      </c>
      <c r="W34" s="209"/>
      <c r="X34" s="7">
        <v>34.9</v>
      </c>
      <c r="Y34" s="271">
        <f>21.1+6.5+21.35+21.4+19.2+21.05+2.95+7.55+22+21.55+21.75+21.3+20.95+21.45+21.55</f>
        <v>271.64999999999998</v>
      </c>
      <c r="Z34" s="273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1"/>
      <c r="BF34" s="91"/>
      <c r="BG34" s="91"/>
      <c r="BH34" s="91"/>
      <c r="BI34" s="91"/>
      <c r="BJ34" s="91"/>
      <c r="BK34" s="91"/>
      <c r="BL34" s="91"/>
      <c r="BM34" s="91"/>
      <c r="BN34" s="91"/>
      <c r="BO34" s="91"/>
      <c r="BP34" s="91"/>
      <c r="BQ34" s="91">
        <f t="shared" si="2"/>
        <v>271.64999999999998</v>
      </c>
      <c r="BR34">
        <f t="shared" si="1"/>
        <v>8.4667771028897487</v>
      </c>
    </row>
    <row r="35" spans="1:70">
      <c r="A35" s="35">
        <v>46066</v>
      </c>
      <c r="B35" s="7">
        <v>130226</v>
      </c>
      <c r="C35" s="7">
        <v>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91"/>
      <c r="P35" s="91"/>
      <c r="Q35" s="7"/>
      <c r="R35" s="91"/>
      <c r="S35" s="91"/>
      <c r="T35" s="7"/>
      <c r="U35" s="7"/>
      <c r="V35" s="7"/>
      <c r="W35" s="209"/>
      <c r="X35" s="7"/>
      <c r="Y35" s="271">
        <v>0</v>
      </c>
      <c r="Z35" s="273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1"/>
      <c r="BF35" s="91"/>
      <c r="BG35" s="91"/>
      <c r="BH35" s="91"/>
      <c r="BI35" s="91"/>
      <c r="BJ35" s="91"/>
      <c r="BK35" s="91"/>
      <c r="BL35" s="91"/>
      <c r="BM35" s="91"/>
      <c r="BN35" s="91"/>
      <c r="BO35" s="91"/>
      <c r="BP35" s="91"/>
      <c r="BQ35" s="91">
        <f t="shared" si="2"/>
        <v>0</v>
      </c>
      <c r="BR35" t="e">
        <f t="shared" si="1"/>
        <v>#DIV/0!</v>
      </c>
    </row>
    <row r="36" spans="1:70">
      <c r="A36" s="35">
        <v>46067</v>
      </c>
      <c r="B36" s="7">
        <v>140226</v>
      </c>
      <c r="C36" s="7">
        <f>1700+1550</f>
        <v>3250</v>
      </c>
      <c r="D36" s="7">
        <v>6.58</v>
      </c>
      <c r="E36" s="251" t="s">
        <v>463</v>
      </c>
      <c r="F36" s="251" t="s">
        <v>464</v>
      </c>
      <c r="G36" s="7">
        <v>2</v>
      </c>
      <c r="H36" s="251" t="s">
        <v>327</v>
      </c>
      <c r="I36" s="7">
        <v>6.58</v>
      </c>
      <c r="J36" s="251" t="s">
        <v>465</v>
      </c>
      <c r="K36" s="251" t="s">
        <v>466</v>
      </c>
      <c r="L36" s="251" t="s">
        <v>467</v>
      </c>
      <c r="M36" s="251" t="s">
        <v>468</v>
      </c>
      <c r="N36" s="251" t="s">
        <v>469</v>
      </c>
      <c r="O36" s="252" t="s">
        <v>470</v>
      </c>
      <c r="P36" s="252" t="s">
        <v>471</v>
      </c>
      <c r="Q36" s="251" t="s">
        <v>472</v>
      </c>
      <c r="R36" s="252" t="s">
        <v>473</v>
      </c>
      <c r="S36" s="252" t="s">
        <v>474</v>
      </c>
      <c r="T36" s="251" t="s">
        <v>475</v>
      </c>
      <c r="U36" s="42">
        <v>0.60763888888888895</v>
      </c>
      <c r="V36" s="7"/>
      <c r="W36" s="209"/>
      <c r="X36" s="7"/>
      <c r="Y36" s="271">
        <f>24.05+24.95+23.3+20.95+25.8+28.15+25.85+24.3+23.85+25.8+25.45+26.35+26.85+23.7+26.45+23.35+24.65+23.1+25.05+30.05</f>
        <v>502.00000000000006</v>
      </c>
      <c r="Z36" s="273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91"/>
      <c r="BB36" s="91"/>
      <c r="BC36" s="91"/>
      <c r="BD36" s="91"/>
      <c r="BE36" s="91"/>
      <c r="BF36" s="91"/>
      <c r="BG36" s="91"/>
      <c r="BH36" s="91"/>
      <c r="BI36" s="91"/>
      <c r="BJ36" s="91"/>
      <c r="BK36" s="91"/>
      <c r="BL36" s="91"/>
      <c r="BM36" s="91"/>
      <c r="BN36" s="91"/>
      <c r="BO36" s="91"/>
      <c r="BP36" s="91"/>
      <c r="BQ36" s="91">
        <f t="shared" si="2"/>
        <v>502.00000000000006</v>
      </c>
      <c r="BR36">
        <f t="shared" si="1"/>
        <v>6.4741035856573701</v>
      </c>
    </row>
    <row r="37" spans="1:70">
      <c r="A37" s="35">
        <v>46070</v>
      </c>
      <c r="B37" s="7">
        <v>170226</v>
      </c>
      <c r="C37" s="7">
        <v>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91"/>
      <c r="P37" s="91"/>
      <c r="Q37" s="7"/>
      <c r="R37" s="91"/>
      <c r="S37" s="91"/>
      <c r="T37" s="7"/>
      <c r="U37" s="7"/>
      <c r="V37" s="7"/>
      <c r="W37" s="209"/>
      <c r="X37" s="7"/>
      <c r="Y37" s="271"/>
      <c r="Z37" s="273"/>
      <c r="AA37" s="91"/>
      <c r="AB37" s="91"/>
      <c r="AC37" s="91"/>
      <c r="AD37" s="91"/>
      <c r="AE37" s="91"/>
      <c r="AF37" s="91"/>
      <c r="AG37" s="91"/>
      <c r="AH37" s="91"/>
      <c r="AI37" s="91"/>
      <c r="AJ37" s="91"/>
      <c r="AK37" s="91"/>
      <c r="AL37" s="91"/>
      <c r="AM37" s="91"/>
      <c r="AN37" s="91"/>
      <c r="AO37" s="91"/>
      <c r="AP37" s="91"/>
      <c r="AQ37" s="91"/>
      <c r="AR37" s="91"/>
      <c r="AS37" s="91"/>
      <c r="AT37" s="91"/>
      <c r="AU37" s="91"/>
      <c r="AV37" s="91"/>
      <c r="AW37" s="91"/>
      <c r="AX37" s="91"/>
      <c r="AY37" s="91"/>
      <c r="AZ37" s="91"/>
      <c r="BA37" s="91"/>
      <c r="BB37" s="91"/>
      <c r="BC37" s="91"/>
      <c r="BD37" s="91"/>
      <c r="BE37" s="91"/>
      <c r="BF37" s="91"/>
      <c r="BG37" s="91"/>
      <c r="BH37" s="91"/>
      <c r="BI37" s="91"/>
      <c r="BJ37" s="91"/>
      <c r="BK37" s="91"/>
      <c r="BL37" s="91"/>
      <c r="BM37" s="91"/>
      <c r="BN37" s="91"/>
      <c r="BO37" s="91"/>
      <c r="BP37" s="91"/>
      <c r="BQ37" s="91">
        <f t="shared" si="2"/>
        <v>0</v>
      </c>
      <c r="BR37" t="e">
        <f t="shared" si="1"/>
        <v>#DIV/0!</v>
      </c>
    </row>
    <row r="38" spans="1:70">
      <c r="A38" s="35">
        <v>46071</v>
      </c>
      <c r="B38" s="7">
        <v>180226</v>
      </c>
      <c r="C38" s="7">
        <v>3550</v>
      </c>
      <c r="D38" s="7"/>
      <c r="E38" s="7" t="s">
        <v>477</v>
      </c>
      <c r="F38" s="7" t="s">
        <v>478</v>
      </c>
      <c r="G38" s="7">
        <v>2</v>
      </c>
      <c r="H38" s="7" t="s">
        <v>327</v>
      </c>
      <c r="I38" s="7">
        <v>6.54</v>
      </c>
      <c r="J38" s="7" t="s">
        <v>479</v>
      </c>
      <c r="K38" s="7" t="s">
        <v>466</v>
      </c>
      <c r="L38" s="7" t="s">
        <v>480</v>
      </c>
      <c r="M38" s="7" t="s">
        <v>480</v>
      </c>
      <c r="N38" s="7" t="s">
        <v>481</v>
      </c>
      <c r="O38" s="91" t="s">
        <v>482</v>
      </c>
      <c r="P38" s="91" t="s">
        <v>483</v>
      </c>
      <c r="Q38" s="7" t="s">
        <v>484</v>
      </c>
      <c r="R38" s="91" t="s">
        <v>473</v>
      </c>
      <c r="S38" s="91" t="s">
        <v>485</v>
      </c>
      <c r="T38" s="42" t="s">
        <v>486</v>
      </c>
      <c r="U38" s="7" t="s">
        <v>487</v>
      </c>
      <c r="V38" s="7" t="s">
        <v>488</v>
      </c>
      <c r="W38" s="209" t="s">
        <v>489</v>
      </c>
      <c r="X38" s="7" t="s">
        <v>490</v>
      </c>
      <c r="Y38" s="271">
        <f>22.7+20.6+24.4+23.95</f>
        <v>91.649999999999991</v>
      </c>
      <c r="Z38" s="273">
        <f>26.25+21.05+25.3+25.15+26.45+14.5+23.25+27.7+25.35+26.5+27.4+26.45+26.9+10.2+23.9+26.85</f>
        <v>383.19999999999993</v>
      </c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1"/>
      <c r="BK38" s="91"/>
      <c r="BL38" s="91"/>
      <c r="BM38" s="91"/>
      <c r="BN38" s="91"/>
      <c r="BO38" s="91"/>
      <c r="BP38" s="91"/>
      <c r="BQ38" s="91">
        <f t="shared" si="2"/>
        <v>474.84999999999991</v>
      </c>
      <c r="BR38">
        <f t="shared" si="1"/>
        <v>7.4760450668632217</v>
      </c>
    </row>
    <row r="39" spans="1:70">
      <c r="A39" s="35">
        <v>46072</v>
      </c>
      <c r="B39" s="7">
        <v>0</v>
      </c>
      <c r="C39" s="7">
        <v>0</v>
      </c>
      <c r="D39" s="42"/>
      <c r="E39" s="42"/>
      <c r="F39" s="42"/>
      <c r="G39" s="7"/>
      <c r="H39" s="7"/>
      <c r="I39" s="7"/>
      <c r="J39" s="7"/>
      <c r="K39" s="7"/>
      <c r="L39" s="42"/>
      <c r="M39" s="42"/>
      <c r="N39" s="7"/>
      <c r="O39" s="91"/>
      <c r="P39" s="91"/>
      <c r="Q39" s="42"/>
      <c r="R39" s="91"/>
      <c r="S39" s="91"/>
      <c r="T39" s="42"/>
      <c r="U39" s="42"/>
      <c r="V39" s="42"/>
      <c r="W39" s="209"/>
      <c r="X39" s="7"/>
      <c r="Y39" s="271"/>
      <c r="Z39" s="273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91"/>
      <c r="AT39" s="91"/>
      <c r="AU39" s="91"/>
      <c r="AV39" s="91"/>
      <c r="AW39" s="91"/>
      <c r="AX39" s="91"/>
      <c r="AY39" s="91"/>
      <c r="AZ39" s="91"/>
      <c r="BA39" s="91"/>
      <c r="BB39" s="91"/>
      <c r="BC39" s="91"/>
      <c r="BD39" s="91"/>
      <c r="BE39" s="91"/>
      <c r="BF39" s="91"/>
      <c r="BG39" s="91"/>
      <c r="BH39" s="91"/>
      <c r="BI39" s="91"/>
      <c r="BJ39" s="91"/>
      <c r="BK39" s="91"/>
      <c r="BL39" s="91"/>
      <c r="BM39" s="91"/>
      <c r="BN39" s="91"/>
      <c r="BO39" s="91"/>
      <c r="BP39" s="91"/>
      <c r="BQ39" s="91">
        <f t="shared" ref="BQ39" si="3">SUM(Y39:BP39)</f>
        <v>0</v>
      </c>
      <c r="BR39" t="e">
        <f t="shared" si="1"/>
        <v>#DIV/0!</v>
      </c>
    </row>
    <row r="40" spans="1:70">
      <c r="A40" s="35">
        <v>46073</v>
      </c>
      <c r="B40" s="7">
        <v>200226</v>
      </c>
      <c r="C40" s="7">
        <v>2300</v>
      </c>
      <c r="D40" s="7"/>
      <c r="E40" s="42">
        <v>0.36458333333333331</v>
      </c>
      <c r="F40" s="42">
        <v>0.41319444444444442</v>
      </c>
      <c r="G40" s="7">
        <v>1</v>
      </c>
      <c r="H40" s="7" t="s">
        <v>327</v>
      </c>
      <c r="I40" s="7">
        <v>6.78</v>
      </c>
      <c r="J40" s="7">
        <v>32.5</v>
      </c>
      <c r="K40" s="7">
        <v>0.44</v>
      </c>
      <c r="L40" s="42">
        <v>0.41666666666666669</v>
      </c>
      <c r="M40" s="42">
        <v>0.42569444444444443</v>
      </c>
      <c r="N40" s="7">
        <v>45</v>
      </c>
      <c r="O40" s="91">
        <v>6.74</v>
      </c>
      <c r="P40" s="91">
        <v>36.5</v>
      </c>
      <c r="Q40" s="42">
        <v>0.45277777777777778</v>
      </c>
      <c r="R40" s="91">
        <v>40.1</v>
      </c>
      <c r="S40" s="91">
        <v>6.62</v>
      </c>
      <c r="T40" s="7">
        <v>12.05</v>
      </c>
      <c r="U40" s="42">
        <v>0.55208333333333337</v>
      </c>
      <c r="V40" s="42">
        <v>0.6875</v>
      </c>
      <c r="W40" s="209">
        <v>5.47</v>
      </c>
      <c r="X40" s="7">
        <v>38.299999999999997</v>
      </c>
      <c r="Y40" s="271">
        <f>16.6+15.35+14.35+15.4+13.55+13.8+13.25+14.7+14.7+14.45+13.7+13.9+14.15+14.35+14.35+13.75</f>
        <v>230.34999999999997</v>
      </c>
      <c r="Z40" s="273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1"/>
      <c r="AR40" s="91"/>
      <c r="AS40" s="91"/>
      <c r="AT40" s="91"/>
      <c r="AU40" s="91"/>
      <c r="AV40" s="91"/>
      <c r="AW40" s="91"/>
      <c r="AX40" s="91"/>
      <c r="AY40" s="91"/>
      <c r="AZ40" s="91"/>
      <c r="BA40" s="91"/>
      <c r="BB40" s="91"/>
      <c r="BC40" s="91"/>
      <c r="BD40" s="91"/>
      <c r="BE40" s="91"/>
      <c r="BF40" s="91"/>
      <c r="BG40" s="91"/>
      <c r="BH40" s="91"/>
      <c r="BI40" s="91"/>
      <c r="BJ40" s="91"/>
      <c r="BK40" s="91"/>
      <c r="BL40" s="91"/>
      <c r="BM40" s="91"/>
      <c r="BN40" s="91"/>
      <c r="BO40" s="91"/>
      <c r="BP40" s="91"/>
      <c r="BQ40" s="91">
        <f>SUM(Y40:BP40)</f>
        <v>230.34999999999997</v>
      </c>
      <c r="BR40">
        <f t="shared" si="1"/>
        <v>9.9848057304102475</v>
      </c>
    </row>
    <row r="41" spans="1:70">
      <c r="A41" s="35">
        <v>46074</v>
      </c>
      <c r="B41" s="7">
        <v>210226</v>
      </c>
      <c r="C41" s="7">
        <v>2450</v>
      </c>
      <c r="D41" s="7"/>
      <c r="E41" s="42">
        <v>0.3263888888888889</v>
      </c>
      <c r="F41" s="42">
        <v>0.37638888888888888</v>
      </c>
      <c r="G41" s="7">
        <v>1</v>
      </c>
      <c r="H41" s="264" t="s">
        <v>327</v>
      </c>
      <c r="I41" s="7">
        <v>6.92</v>
      </c>
      <c r="J41" s="7">
        <v>29.3</v>
      </c>
      <c r="K41" s="7">
        <v>0.49</v>
      </c>
      <c r="L41" s="42">
        <v>0.37986111111111115</v>
      </c>
      <c r="M41" s="42">
        <v>0.39027777777777778</v>
      </c>
      <c r="N41" s="7">
        <v>44.5</v>
      </c>
      <c r="O41" s="91">
        <v>6.76</v>
      </c>
      <c r="P41" s="91">
        <v>36.5</v>
      </c>
      <c r="Q41" s="42">
        <v>0.41805555555555557</v>
      </c>
      <c r="R41" s="91">
        <v>40.1</v>
      </c>
      <c r="S41" s="91">
        <v>6.7</v>
      </c>
      <c r="T41" s="42">
        <v>0.41666666666666669</v>
      </c>
      <c r="U41" s="42">
        <v>0.47361111111111115</v>
      </c>
      <c r="V41" s="42">
        <v>0.55902777777777779</v>
      </c>
      <c r="W41" s="209">
        <v>5.96</v>
      </c>
      <c r="X41" s="7">
        <v>38.9</v>
      </c>
      <c r="Y41" s="271">
        <f>25+22.75+24.85+23.55+22.75+24.05</f>
        <v>142.94999999999999</v>
      </c>
      <c r="Z41" s="273">
        <f>65.3+64.55+31.95</f>
        <v>161.79999999999998</v>
      </c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AT41" s="91"/>
      <c r="AU41" s="91"/>
      <c r="AV41" s="91"/>
      <c r="AW41" s="91"/>
      <c r="AX41" s="91"/>
      <c r="AY41" s="91"/>
      <c r="AZ41" s="91"/>
      <c r="BA41" s="91"/>
      <c r="BB41" s="91"/>
      <c r="BC41" s="91"/>
      <c r="BD41" s="91"/>
      <c r="BE41" s="91"/>
      <c r="BF41" s="91"/>
      <c r="BG41" s="91"/>
      <c r="BH41" s="91"/>
      <c r="BI41" s="91"/>
      <c r="BJ41" s="91"/>
      <c r="BK41" s="91"/>
      <c r="BL41" s="91"/>
      <c r="BM41" s="91"/>
      <c r="BN41" s="91"/>
      <c r="BO41" s="91"/>
      <c r="BP41" s="91"/>
      <c r="BQ41" s="91">
        <f t="shared" ref="BQ41" si="4">SUM(Y41:BP41)</f>
        <v>304.75</v>
      </c>
      <c r="BR41">
        <f t="shared" si="1"/>
        <v>8.0393765381460209</v>
      </c>
    </row>
    <row r="42" spans="1:70">
      <c r="A42" s="284">
        <v>46077</v>
      </c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6"/>
      <c r="P42" s="286"/>
      <c r="Q42" s="285"/>
      <c r="R42" s="286"/>
      <c r="S42" s="286"/>
      <c r="T42" s="285"/>
      <c r="U42" s="285"/>
      <c r="V42" s="285"/>
      <c r="W42" s="287"/>
      <c r="X42" s="285"/>
      <c r="Y42" s="271"/>
      <c r="Z42" s="273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  <c r="AL42" s="91"/>
      <c r="AM42" s="91"/>
      <c r="AN42" s="91"/>
      <c r="AO42" s="91"/>
      <c r="AP42" s="91"/>
      <c r="AQ42" s="91"/>
      <c r="AR42" s="91"/>
      <c r="AS42" s="91"/>
      <c r="AT42" s="91"/>
      <c r="AU42" s="91"/>
      <c r="AV42" s="91"/>
      <c r="AW42" s="91"/>
      <c r="AX42" s="91"/>
      <c r="AY42" s="91"/>
      <c r="AZ42" s="91"/>
      <c r="BA42" s="91"/>
      <c r="BB42" s="91"/>
      <c r="BC42" s="91"/>
      <c r="BD42" s="91"/>
      <c r="BE42" s="91"/>
      <c r="BF42" s="91"/>
      <c r="BG42" s="91"/>
      <c r="BH42" s="91"/>
      <c r="BI42" s="91"/>
      <c r="BJ42" s="91"/>
      <c r="BK42" s="91"/>
      <c r="BL42" s="91"/>
      <c r="BM42" s="91"/>
      <c r="BN42" s="91"/>
      <c r="BO42" s="91"/>
      <c r="BP42" s="91"/>
      <c r="BQ42" s="91">
        <f t="shared" ref="BQ42:BQ50" si="5">SUM(Y42:BP42)</f>
        <v>0</v>
      </c>
      <c r="BR42" t="e">
        <f t="shared" si="1"/>
        <v>#DIV/0!</v>
      </c>
    </row>
    <row r="43" spans="1:70">
      <c r="A43" s="284">
        <v>46078</v>
      </c>
      <c r="B43" s="285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6"/>
      <c r="P43" s="286"/>
      <c r="Q43" s="285"/>
      <c r="R43" s="286"/>
      <c r="S43" s="286"/>
      <c r="T43" s="285"/>
      <c r="U43" s="285"/>
      <c r="V43" s="285"/>
      <c r="W43" s="287"/>
      <c r="X43" s="285"/>
      <c r="Y43" s="271"/>
      <c r="Z43" s="273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AT43" s="91"/>
      <c r="AU43" s="91"/>
      <c r="AV43" s="91"/>
      <c r="AW43" s="91"/>
      <c r="AX43" s="91"/>
      <c r="AY43" s="91"/>
      <c r="AZ43" s="91"/>
      <c r="BA43" s="91"/>
      <c r="BB43" s="91"/>
      <c r="BC43" s="91"/>
      <c r="BD43" s="91"/>
      <c r="BE43" s="91"/>
      <c r="BF43" s="91"/>
      <c r="BG43" s="91"/>
      <c r="BH43" s="91"/>
      <c r="BI43" s="91"/>
      <c r="BJ43" s="91"/>
      <c r="BK43" s="91"/>
      <c r="BL43" s="91"/>
      <c r="BM43" s="91"/>
      <c r="BN43" s="91"/>
      <c r="BO43" s="91"/>
      <c r="BP43" s="91"/>
      <c r="BQ43" s="91">
        <f t="shared" si="5"/>
        <v>0</v>
      </c>
      <c r="BR43" t="e">
        <f t="shared" si="1"/>
        <v>#DIV/0!</v>
      </c>
    </row>
    <row r="44" spans="1:70">
      <c r="A44" s="35">
        <v>46079</v>
      </c>
      <c r="B44" s="7">
        <v>260226</v>
      </c>
      <c r="C44" s="7">
        <v>2200</v>
      </c>
      <c r="D44" s="7"/>
      <c r="E44" s="42">
        <v>0.40138888888888885</v>
      </c>
      <c r="F44" s="42">
        <v>0.44444444444444442</v>
      </c>
      <c r="G44" s="7">
        <v>1</v>
      </c>
      <c r="H44" s="7" t="s">
        <v>327</v>
      </c>
      <c r="I44" s="7">
        <v>6.74</v>
      </c>
      <c r="J44" s="7">
        <v>29.8</v>
      </c>
      <c r="K44" s="7">
        <v>0.44</v>
      </c>
      <c r="L44" s="42">
        <v>0.44722222222222219</v>
      </c>
      <c r="M44" s="42">
        <v>0.41666666666666669</v>
      </c>
      <c r="N44" s="7">
        <v>45</v>
      </c>
      <c r="O44" s="91">
        <v>6.66</v>
      </c>
      <c r="P44" s="91">
        <v>36.700000000000003</v>
      </c>
      <c r="Q44" s="42">
        <v>0.4826388888888889</v>
      </c>
      <c r="R44" s="91">
        <v>40</v>
      </c>
      <c r="S44" s="91">
        <v>6.57</v>
      </c>
      <c r="T44" s="42">
        <v>0.52777777777777779</v>
      </c>
      <c r="U44" s="42">
        <v>0.53472222222222221</v>
      </c>
      <c r="V44" s="42">
        <v>0.6875</v>
      </c>
      <c r="W44" s="209">
        <v>5.44</v>
      </c>
      <c r="X44" s="7">
        <v>36.1</v>
      </c>
      <c r="Y44" s="271">
        <f>21.8+23.5+24.55+22.65+22.5+24.7+22.85+23.25+22.4+23.85</f>
        <v>232.04999999999998</v>
      </c>
      <c r="Z44" s="273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1"/>
      <c r="AQ44" s="91"/>
      <c r="AR44" s="91"/>
      <c r="AS44" s="91"/>
      <c r="AT44" s="91"/>
      <c r="AU44" s="91"/>
      <c r="AV44" s="91"/>
      <c r="AW44" s="91"/>
      <c r="AX44" s="91"/>
      <c r="AY44" s="91"/>
      <c r="AZ44" s="91"/>
      <c r="BA44" s="91"/>
      <c r="BB44" s="91"/>
      <c r="BC44" s="91"/>
      <c r="BD44" s="91"/>
      <c r="BE44" s="91"/>
      <c r="BF44" s="91"/>
      <c r="BG44" s="91"/>
      <c r="BH44" s="91"/>
      <c r="BI44" s="91"/>
      <c r="BJ44" s="91"/>
      <c r="BK44" s="91"/>
      <c r="BL44" s="91"/>
      <c r="BM44" s="91"/>
      <c r="BN44" s="91"/>
      <c r="BO44" s="91"/>
      <c r="BP44" s="91"/>
      <c r="BQ44" s="91">
        <f t="shared" si="5"/>
        <v>232.04999999999998</v>
      </c>
      <c r="BR44">
        <f t="shared" si="1"/>
        <v>9.4807153630683043</v>
      </c>
    </row>
    <row r="45" spans="1:70">
      <c r="A45" s="35">
        <v>46080</v>
      </c>
      <c r="B45" s="7">
        <v>270226</v>
      </c>
      <c r="C45" s="7">
        <v>2200</v>
      </c>
      <c r="D45" s="7"/>
      <c r="E45" s="42">
        <v>0.35416666666666669</v>
      </c>
      <c r="F45" s="42">
        <v>0.39374999999999999</v>
      </c>
      <c r="G45" s="7">
        <v>1</v>
      </c>
      <c r="H45" s="7" t="s">
        <v>327</v>
      </c>
      <c r="I45" s="7">
        <v>5.99</v>
      </c>
      <c r="J45" s="7">
        <v>31.8</v>
      </c>
      <c r="K45" s="7">
        <v>0.44</v>
      </c>
      <c r="L45" s="42">
        <v>0.39513888888888887</v>
      </c>
      <c r="M45" s="42">
        <v>0.40625</v>
      </c>
      <c r="N45" s="7">
        <v>45</v>
      </c>
      <c r="O45" s="91">
        <v>6.69</v>
      </c>
      <c r="P45" s="91">
        <v>36.5</v>
      </c>
      <c r="Q45" s="42">
        <v>0.43541666666666662</v>
      </c>
      <c r="R45" s="91"/>
      <c r="S45" s="91"/>
      <c r="T45" s="42">
        <v>0.51041666666666663</v>
      </c>
      <c r="U45" s="42">
        <v>0.52430555555555558</v>
      </c>
      <c r="V45" s="42">
        <v>0.58333333333333337</v>
      </c>
      <c r="W45" s="209">
        <v>5.34</v>
      </c>
      <c r="X45" s="7">
        <v>37.9</v>
      </c>
      <c r="Y45" s="271">
        <f>24+23.45+22.8+22.15+23.3+24.3+23.4+25+24.15+24.05</f>
        <v>236.60000000000002</v>
      </c>
      <c r="Z45" s="273"/>
      <c r="AA45" s="91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1"/>
      <c r="AO45" s="91"/>
      <c r="AP45" s="91"/>
      <c r="AQ45" s="91"/>
      <c r="AR45" s="91"/>
      <c r="AS45" s="91"/>
      <c r="AT45" s="91"/>
      <c r="AU45" s="91"/>
      <c r="AV45" s="91"/>
      <c r="AW45" s="91"/>
      <c r="AX45" s="91"/>
      <c r="AY45" s="91"/>
      <c r="AZ45" s="91"/>
      <c r="BA45" s="91"/>
      <c r="BB45" s="91"/>
      <c r="BC45" s="91"/>
      <c r="BD45" s="91"/>
      <c r="BE45" s="91"/>
      <c r="BF45" s="91"/>
      <c r="BG45" s="91"/>
      <c r="BH45" s="91"/>
      <c r="BI45" s="91"/>
      <c r="BJ45" s="91"/>
      <c r="BK45" s="91"/>
      <c r="BL45" s="91"/>
      <c r="BM45" s="91"/>
      <c r="BN45" s="91"/>
      <c r="BO45" s="91"/>
      <c r="BP45" s="91"/>
      <c r="BQ45" s="91">
        <f t="shared" si="5"/>
        <v>236.60000000000002</v>
      </c>
      <c r="BR45">
        <f t="shared" si="1"/>
        <v>9.2983939137785274</v>
      </c>
    </row>
    <row r="46" spans="1:70">
      <c r="A46" s="35">
        <v>46081</v>
      </c>
      <c r="B46" s="307" t="s">
        <v>408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91"/>
      <c r="P46" s="91"/>
      <c r="Q46" s="7"/>
      <c r="R46" s="91"/>
      <c r="S46" s="91"/>
      <c r="T46" s="7"/>
      <c r="U46" s="7"/>
      <c r="V46" s="7"/>
      <c r="W46" s="209"/>
      <c r="X46" s="7"/>
      <c r="Y46" s="271"/>
      <c r="Z46" s="273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1"/>
      <c r="AQ46" s="91"/>
      <c r="AR46" s="91"/>
      <c r="AS46" s="91"/>
      <c r="AT46" s="91"/>
      <c r="AU46" s="91"/>
      <c r="AV46" s="91"/>
      <c r="AW46" s="91"/>
      <c r="AX46" s="91"/>
      <c r="AY46" s="91"/>
      <c r="AZ46" s="91"/>
      <c r="BA46" s="91"/>
      <c r="BB46" s="91"/>
      <c r="BC46" s="91"/>
      <c r="BD46" s="91"/>
      <c r="BE46" s="91"/>
      <c r="BF46" s="91"/>
      <c r="BG46" s="91"/>
      <c r="BH46" s="91"/>
      <c r="BI46" s="91"/>
      <c r="BJ46" s="91"/>
      <c r="BK46" s="91"/>
      <c r="BL46" s="91"/>
      <c r="BM46" s="91"/>
      <c r="BN46" s="91"/>
      <c r="BO46" s="91"/>
      <c r="BP46" s="91"/>
      <c r="BQ46" s="91">
        <f t="shared" si="5"/>
        <v>0</v>
      </c>
      <c r="BR46" t="e">
        <f t="shared" si="1"/>
        <v>#DIV/0!</v>
      </c>
    </row>
    <row r="47" spans="1:70">
      <c r="A47" s="35">
        <v>46082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91"/>
      <c r="P47" s="91"/>
      <c r="Q47" s="7"/>
      <c r="R47" s="91"/>
      <c r="S47" s="91"/>
      <c r="T47" s="7"/>
      <c r="U47" s="7"/>
      <c r="V47" s="7"/>
      <c r="W47" s="209"/>
      <c r="X47" s="7"/>
      <c r="Y47" s="271"/>
      <c r="Z47" s="273"/>
      <c r="AA47" s="91"/>
      <c r="AB47" s="91"/>
      <c r="AC47" s="91"/>
      <c r="AD47" s="91"/>
      <c r="AE47" s="91"/>
      <c r="AF47" s="91"/>
      <c r="AG47" s="91"/>
      <c r="AH47" s="91"/>
      <c r="AI47" s="91"/>
      <c r="AJ47" s="91"/>
      <c r="AK47" s="91"/>
      <c r="AL47" s="91"/>
      <c r="AM47" s="91"/>
      <c r="AN47" s="91"/>
      <c r="AO47" s="91"/>
      <c r="AP47" s="91"/>
      <c r="AQ47" s="91"/>
      <c r="AR47" s="91"/>
      <c r="AS47" s="91"/>
      <c r="AT47" s="91"/>
      <c r="AU47" s="91"/>
      <c r="AV47" s="91"/>
      <c r="AW47" s="91"/>
      <c r="AX47" s="91"/>
      <c r="AY47" s="91"/>
      <c r="AZ47" s="91"/>
      <c r="BA47" s="91"/>
      <c r="BB47" s="91"/>
      <c r="BC47" s="91"/>
      <c r="BD47" s="91"/>
      <c r="BE47" s="91"/>
      <c r="BF47" s="91"/>
      <c r="BG47" s="91"/>
      <c r="BH47" s="91"/>
      <c r="BI47" s="91"/>
      <c r="BJ47" s="91"/>
      <c r="BK47" s="91"/>
      <c r="BL47" s="91"/>
      <c r="BM47" s="91"/>
      <c r="BN47" s="91"/>
      <c r="BO47" s="91"/>
      <c r="BP47" s="91"/>
      <c r="BQ47" s="91">
        <f t="shared" si="5"/>
        <v>0</v>
      </c>
      <c r="BR47" t="e">
        <f t="shared" si="1"/>
        <v>#DIV/0!</v>
      </c>
    </row>
    <row r="48" spans="1:70">
      <c r="A48" s="35">
        <v>46083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91"/>
      <c r="P48" s="91"/>
      <c r="Q48" s="42"/>
      <c r="R48" s="91"/>
      <c r="S48" s="91"/>
      <c r="T48" s="7"/>
      <c r="U48" s="7"/>
      <c r="V48" s="7"/>
      <c r="W48" s="209"/>
      <c r="X48" s="7"/>
      <c r="Y48" s="271"/>
      <c r="Z48" s="273"/>
      <c r="AA48" s="91"/>
      <c r="AB48" s="91"/>
      <c r="AC48" s="91"/>
      <c r="AD48" s="91"/>
      <c r="AE48" s="91"/>
      <c r="AF48" s="91"/>
      <c r="AG48" s="91"/>
      <c r="AH48" s="91"/>
      <c r="AI48" s="91"/>
      <c r="AJ48" s="91"/>
      <c r="AK48" s="91"/>
      <c r="AL48" s="91"/>
      <c r="AM48" s="91"/>
      <c r="AN48" s="91"/>
      <c r="AO48" s="91"/>
      <c r="AP48" s="91"/>
      <c r="AQ48" s="91"/>
      <c r="AR48" s="91"/>
      <c r="AS48" s="91"/>
      <c r="AT48" s="91"/>
      <c r="AU48" s="91"/>
      <c r="AV48" s="91"/>
      <c r="AW48" s="91"/>
      <c r="AX48" s="91"/>
      <c r="AY48" s="91"/>
      <c r="AZ48" s="91"/>
      <c r="BA48" s="91"/>
      <c r="BB48" s="91"/>
      <c r="BC48" s="91"/>
      <c r="BD48" s="91"/>
      <c r="BE48" s="91"/>
      <c r="BF48" s="91"/>
      <c r="BG48" s="91"/>
      <c r="BH48" s="91"/>
      <c r="BI48" s="91"/>
      <c r="BJ48" s="91"/>
      <c r="BK48" s="91"/>
      <c r="BL48" s="91"/>
      <c r="BM48" s="91"/>
      <c r="BN48" s="91"/>
      <c r="BO48" s="91"/>
      <c r="BP48" s="91"/>
      <c r="BQ48" s="91">
        <f t="shared" si="5"/>
        <v>0</v>
      </c>
      <c r="BR48" t="e">
        <f t="shared" si="1"/>
        <v>#DIV/0!</v>
      </c>
    </row>
    <row r="49" spans="1:70">
      <c r="A49" s="35">
        <v>46084</v>
      </c>
      <c r="B49" s="7">
        <v>30326</v>
      </c>
      <c r="C49" s="7">
        <v>2400</v>
      </c>
      <c r="D49" s="7">
        <v>6.62</v>
      </c>
      <c r="E49" s="42">
        <v>0.35416666666666669</v>
      </c>
      <c r="F49" s="42">
        <v>0.39027777777777778</v>
      </c>
      <c r="G49" s="7">
        <v>1</v>
      </c>
      <c r="H49" s="7" t="s">
        <v>327</v>
      </c>
      <c r="I49" s="7">
        <v>6.65</v>
      </c>
      <c r="J49" s="7">
        <v>31.8</v>
      </c>
      <c r="K49" s="7">
        <v>600</v>
      </c>
      <c r="L49" s="42">
        <v>0.39861111111111108</v>
      </c>
      <c r="M49" s="42">
        <v>0.40277777777777773</v>
      </c>
      <c r="N49" s="7">
        <v>60</v>
      </c>
      <c r="O49" s="91">
        <v>6.5</v>
      </c>
      <c r="P49" s="91">
        <v>36.6</v>
      </c>
      <c r="Q49" s="42">
        <v>0.42152777777777778</v>
      </c>
      <c r="R49" s="91">
        <v>42</v>
      </c>
      <c r="S49" s="91"/>
      <c r="T49" s="42">
        <v>0.51041666666666663</v>
      </c>
      <c r="U49" s="42">
        <v>0.53125</v>
      </c>
      <c r="V49" s="42">
        <v>0.63055555555555554</v>
      </c>
      <c r="W49" s="209">
        <v>5.16</v>
      </c>
      <c r="X49" s="7">
        <v>39.799999999999997</v>
      </c>
      <c r="Y49" s="271">
        <f>24.95+23.9+26.45+25.2+26.55+24.45+24.45+24.65+24.55+25.8+25.25+24.35</f>
        <v>300.55000000000007</v>
      </c>
      <c r="Z49" s="273">
        <v>0</v>
      </c>
      <c r="AA49" s="91"/>
      <c r="AB49" s="91"/>
      <c r="AC49" s="91"/>
      <c r="AD49" s="91"/>
      <c r="AE49" s="91"/>
      <c r="AF49" s="91"/>
      <c r="AG49" s="91"/>
      <c r="AH49" s="91"/>
      <c r="AI49" s="91"/>
      <c r="AJ49" s="91"/>
      <c r="AK49" s="91"/>
      <c r="AL49" s="91"/>
      <c r="AM49" s="91"/>
      <c r="AN49" s="91"/>
      <c r="AO49" s="91"/>
      <c r="AP49" s="91"/>
      <c r="AQ49" s="91"/>
      <c r="AR49" s="91"/>
      <c r="AS49" s="91"/>
      <c r="AT49" s="91"/>
      <c r="AU49" s="91"/>
      <c r="AV49" s="91"/>
      <c r="AW49" s="91"/>
      <c r="AX49" s="91"/>
      <c r="AY49" s="91"/>
      <c r="AZ49" s="91"/>
      <c r="BA49" s="91"/>
      <c r="BB49" s="91"/>
      <c r="BC49" s="91"/>
      <c r="BD49" s="91"/>
      <c r="BE49" s="91"/>
      <c r="BF49" s="91"/>
      <c r="BG49" s="91"/>
      <c r="BH49" s="91"/>
      <c r="BI49" s="91"/>
      <c r="BJ49" s="91"/>
      <c r="BK49" s="91"/>
      <c r="BL49" s="91"/>
      <c r="BM49" s="91"/>
      <c r="BN49" s="91"/>
      <c r="BO49" s="91"/>
      <c r="BP49" s="91"/>
      <c r="BQ49" s="91">
        <f t="shared" si="5"/>
        <v>300.55000000000007</v>
      </c>
      <c r="BR49">
        <f t="shared" si="1"/>
        <v>7.9853601730161357</v>
      </c>
    </row>
    <row r="50" spans="1:70">
      <c r="A50" s="35">
        <v>46085</v>
      </c>
      <c r="B50" s="7">
        <v>40326</v>
      </c>
      <c r="C50" s="7">
        <v>2400</v>
      </c>
      <c r="D50" s="7"/>
      <c r="E50" s="42">
        <v>0.375</v>
      </c>
      <c r="F50" s="42">
        <v>0.4069444444444445</v>
      </c>
      <c r="G50" s="7">
        <v>1</v>
      </c>
      <c r="H50" s="7" t="s">
        <v>327</v>
      </c>
      <c r="I50" s="7">
        <v>6.7</v>
      </c>
      <c r="J50" s="7">
        <v>32.4</v>
      </c>
      <c r="K50" s="7">
        <v>480</v>
      </c>
      <c r="L50" s="42">
        <v>0.40972222222222227</v>
      </c>
      <c r="M50" s="42">
        <v>0.4201388888888889</v>
      </c>
      <c r="N50" s="7">
        <v>60</v>
      </c>
      <c r="O50" s="91">
        <v>6.65</v>
      </c>
      <c r="P50" s="91">
        <v>36.4</v>
      </c>
      <c r="Q50" s="42">
        <v>0.44236111111111115</v>
      </c>
      <c r="R50" s="91">
        <v>43.3</v>
      </c>
      <c r="S50" s="91">
        <v>6.49</v>
      </c>
      <c r="T50" s="42">
        <v>0.50347222222222221</v>
      </c>
      <c r="U50" s="42">
        <v>0.56597222222222221</v>
      </c>
      <c r="V50" s="42">
        <v>0.68055555555555547</v>
      </c>
      <c r="W50" s="209">
        <v>5.2</v>
      </c>
      <c r="X50" s="7">
        <v>37.5</v>
      </c>
      <c r="Y50" s="271">
        <f>24.3+24+23.3+15.9+22.85+23.2+23.85+24.1+22.35+22.4+21.95+23</f>
        <v>271.19999999999993</v>
      </c>
      <c r="Z50" s="273"/>
      <c r="AA50" s="91"/>
      <c r="AB50" s="91"/>
      <c r="AC50" s="91"/>
      <c r="AD50" s="91"/>
      <c r="AE50" s="91"/>
      <c r="AF50" s="91"/>
      <c r="AG50" s="91"/>
      <c r="AH50" s="91"/>
      <c r="AI50" s="91"/>
      <c r="AJ50" s="91"/>
      <c r="AK50" s="91"/>
      <c r="AL50" s="91"/>
      <c r="AM50" s="91"/>
      <c r="AN50" s="91"/>
      <c r="AO50" s="91"/>
      <c r="AP50" s="91"/>
      <c r="AQ50" s="91"/>
      <c r="AR50" s="91"/>
      <c r="AS50" s="91"/>
      <c r="AT50" s="91"/>
      <c r="AU50" s="91"/>
      <c r="AV50" s="91"/>
      <c r="AW50" s="91"/>
      <c r="AX50" s="91"/>
      <c r="AY50" s="91"/>
      <c r="AZ50" s="91"/>
      <c r="BA50" s="91"/>
      <c r="BB50" s="91"/>
      <c r="BC50" s="91"/>
      <c r="BD50" s="91"/>
      <c r="BE50" s="91"/>
      <c r="BF50" s="91"/>
      <c r="BG50" s="91"/>
      <c r="BH50" s="91"/>
      <c r="BI50" s="91"/>
      <c r="BJ50" s="91"/>
      <c r="BK50" s="91"/>
      <c r="BL50" s="91"/>
      <c r="BM50" s="91"/>
      <c r="BN50" s="91"/>
      <c r="BO50" s="91"/>
      <c r="BP50" s="91"/>
      <c r="BQ50" s="91">
        <f t="shared" si="5"/>
        <v>271.19999999999993</v>
      </c>
      <c r="BR50">
        <f t="shared" si="1"/>
        <v>8.8495575221238969</v>
      </c>
    </row>
    <row r="51" spans="1:70">
      <c r="A51" s="35">
        <v>46086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91"/>
      <c r="P51" s="91"/>
      <c r="Q51" s="7"/>
      <c r="R51" s="91"/>
      <c r="S51" s="91"/>
      <c r="T51" s="7"/>
      <c r="U51" s="7"/>
      <c r="V51" s="7"/>
      <c r="W51" s="209"/>
      <c r="X51" s="7"/>
      <c r="Y51" s="271"/>
      <c r="Z51" s="273"/>
      <c r="AA51" s="91"/>
      <c r="AB51" s="91"/>
      <c r="AC51" s="91"/>
      <c r="AD51" s="91"/>
      <c r="AE51" s="91"/>
      <c r="AF51" s="91"/>
      <c r="AG51" s="91"/>
      <c r="AH51" s="91"/>
      <c r="AI51" s="91"/>
      <c r="AJ51" s="91"/>
      <c r="AK51" s="91"/>
      <c r="AL51" s="91"/>
      <c r="AM51" s="91"/>
      <c r="AN51" s="91"/>
      <c r="AO51" s="91"/>
      <c r="AP51" s="91"/>
      <c r="AQ51" s="91"/>
      <c r="AR51" s="91"/>
      <c r="AS51" s="91"/>
      <c r="AT51" s="91"/>
      <c r="AU51" s="91"/>
      <c r="AV51" s="91"/>
      <c r="AW51" s="91"/>
      <c r="AX51" s="91"/>
      <c r="AY51" s="91"/>
      <c r="AZ51" s="91"/>
      <c r="BA51" s="91"/>
      <c r="BB51" s="91"/>
      <c r="BC51" s="91"/>
      <c r="BD51" s="91"/>
      <c r="BE51" s="91"/>
      <c r="BF51" s="91"/>
      <c r="BG51" s="91"/>
      <c r="BH51" s="91"/>
      <c r="BI51" s="91"/>
      <c r="BJ51" s="91"/>
      <c r="BK51" s="91"/>
      <c r="BL51" s="91"/>
      <c r="BM51" s="91"/>
      <c r="BN51" s="91"/>
      <c r="BO51" s="91"/>
      <c r="BP51" s="91"/>
      <c r="BQ51" s="91"/>
      <c r="BR51" s="7"/>
    </row>
    <row r="52" spans="1:70">
      <c r="A52" s="35">
        <v>46087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91"/>
      <c r="P52" s="91"/>
      <c r="Q52" s="7"/>
      <c r="R52" s="91"/>
      <c r="S52" s="91"/>
      <c r="T52" s="7"/>
      <c r="U52" s="7"/>
      <c r="V52" s="7"/>
      <c r="W52" s="209"/>
      <c r="X52" s="7"/>
      <c r="Y52" s="271"/>
      <c r="Z52" s="273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91"/>
      <c r="AP52" s="91"/>
      <c r="AQ52" s="91"/>
      <c r="AR52" s="91"/>
      <c r="AS52" s="91"/>
      <c r="AT52" s="91"/>
      <c r="AU52" s="91"/>
      <c r="AV52" s="91"/>
      <c r="AW52" s="91"/>
      <c r="AX52" s="91"/>
      <c r="AY52" s="91"/>
      <c r="AZ52" s="91"/>
      <c r="BA52" s="91"/>
      <c r="BB52" s="91"/>
      <c r="BC52" s="91"/>
      <c r="BD52" s="91"/>
      <c r="BE52" s="91"/>
      <c r="BF52" s="91"/>
      <c r="BG52" s="91"/>
      <c r="BH52" s="91"/>
      <c r="BI52" s="91"/>
      <c r="BJ52" s="91"/>
      <c r="BK52" s="91"/>
      <c r="BL52" s="91"/>
      <c r="BM52" s="91"/>
      <c r="BN52" s="91"/>
      <c r="BO52" s="91"/>
      <c r="BP52" s="91"/>
      <c r="BQ52" s="91"/>
      <c r="BR52" s="7"/>
    </row>
    <row r="53" spans="1:70">
      <c r="A53" s="35">
        <v>46088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91"/>
      <c r="P53" s="91"/>
      <c r="Q53" s="7"/>
      <c r="R53" s="91"/>
      <c r="S53" s="91"/>
      <c r="T53" s="7"/>
      <c r="U53" s="7"/>
      <c r="V53" s="7"/>
      <c r="W53" s="209"/>
      <c r="X53" s="7"/>
      <c r="Y53" s="271"/>
      <c r="Z53" s="273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  <c r="AM53" s="91"/>
      <c r="AN53" s="91"/>
      <c r="AO53" s="91"/>
      <c r="AP53" s="91"/>
      <c r="AQ53" s="91"/>
      <c r="AR53" s="91"/>
      <c r="AS53" s="91"/>
      <c r="AT53" s="91"/>
      <c r="AU53" s="91"/>
      <c r="AV53" s="91"/>
      <c r="AW53" s="91"/>
      <c r="AX53" s="91"/>
      <c r="AY53" s="91"/>
      <c r="AZ53" s="91"/>
      <c r="BA53" s="91"/>
      <c r="BB53" s="91"/>
      <c r="BC53" s="91"/>
      <c r="BD53" s="91"/>
      <c r="BE53" s="91"/>
      <c r="BF53" s="91"/>
      <c r="BG53" s="91"/>
      <c r="BH53" s="91"/>
      <c r="BI53" s="91"/>
      <c r="BJ53" s="91"/>
      <c r="BK53" s="91"/>
      <c r="BL53" s="91"/>
      <c r="BM53" s="91"/>
      <c r="BN53" s="91"/>
      <c r="BO53" s="91"/>
      <c r="BP53" s="91"/>
      <c r="BQ53" s="91"/>
      <c r="BR53" s="7"/>
    </row>
    <row r="54" spans="1:70">
      <c r="A54" s="35">
        <v>46089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91"/>
      <c r="P54" s="91"/>
      <c r="Q54" s="7"/>
      <c r="R54" s="91"/>
      <c r="S54" s="91"/>
      <c r="T54" s="7"/>
      <c r="U54" s="7"/>
      <c r="V54" s="7"/>
      <c r="W54" s="209"/>
      <c r="X54" s="7"/>
      <c r="Y54" s="271"/>
      <c r="Z54" s="273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  <c r="AM54" s="91"/>
      <c r="AN54" s="91"/>
      <c r="AO54" s="91"/>
      <c r="AP54" s="91"/>
      <c r="AQ54" s="91"/>
      <c r="AR54" s="91"/>
      <c r="AS54" s="91"/>
      <c r="AT54" s="91"/>
      <c r="AU54" s="91"/>
      <c r="AV54" s="91"/>
      <c r="AW54" s="91"/>
      <c r="AX54" s="91"/>
      <c r="AY54" s="91"/>
      <c r="AZ54" s="91"/>
      <c r="BA54" s="91"/>
      <c r="BB54" s="91"/>
      <c r="BC54" s="91"/>
      <c r="BD54" s="91"/>
      <c r="BE54" s="91"/>
      <c r="BF54" s="91"/>
      <c r="BG54" s="91"/>
      <c r="BH54" s="91"/>
      <c r="BI54" s="91"/>
      <c r="BJ54" s="91"/>
      <c r="BK54" s="91"/>
      <c r="BL54" s="91"/>
      <c r="BM54" s="91"/>
      <c r="BN54" s="91"/>
      <c r="BO54" s="91"/>
      <c r="BP54" s="91"/>
      <c r="BQ54" s="91"/>
      <c r="BR54" s="7"/>
    </row>
    <row r="55" spans="1:70">
      <c r="A55" s="35">
        <v>46090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91"/>
      <c r="P55" s="91"/>
      <c r="Q55" s="7"/>
      <c r="R55" s="91"/>
      <c r="S55" s="91"/>
      <c r="T55" s="7"/>
      <c r="U55" s="7"/>
      <c r="V55" s="7"/>
      <c r="W55" s="209"/>
      <c r="X55" s="7"/>
      <c r="Y55" s="271"/>
      <c r="Z55" s="273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  <c r="AM55" s="91"/>
      <c r="AN55" s="91"/>
      <c r="AO55" s="91"/>
      <c r="AP55" s="91"/>
      <c r="AQ55" s="91"/>
      <c r="AR55" s="91"/>
      <c r="AS55" s="91"/>
      <c r="AT55" s="91"/>
      <c r="AU55" s="91"/>
      <c r="AV55" s="91"/>
      <c r="AW55" s="91"/>
      <c r="AX55" s="91"/>
      <c r="AY55" s="91"/>
      <c r="AZ55" s="91"/>
      <c r="BA55" s="91"/>
      <c r="BB55" s="91"/>
      <c r="BC55" s="91"/>
      <c r="BD55" s="91"/>
      <c r="BE55" s="91"/>
      <c r="BF55" s="91"/>
      <c r="BG55" s="91"/>
      <c r="BH55" s="91"/>
      <c r="BI55" s="91"/>
      <c r="BJ55" s="91"/>
      <c r="BK55" s="91"/>
      <c r="BL55" s="91"/>
      <c r="BM55" s="91"/>
      <c r="BN55" s="91"/>
      <c r="BO55" s="91"/>
      <c r="BP55" s="91"/>
      <c r="BQ55" s="91"/>
      <c r="BR55" s="7"/>
    </row>
    <row r="56" spans="1:70">
      <c r="A56" s="35">
        <v>46091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91"/>
      <c r="P56" s="91"/>
      <c r="Q56" s="7"/>
      <c r="R56" s="91"/>
      <c r="S56" s="91"/>
      <c r="T56" s="7"/>
      <c r="U56" s="7"/>
      <c r="V56" s="7"/>
      <c r="W56" s="209"/>
      <c r="X56" s="7"/>
      <c r="Y56" s="271"/>
      <c r="Z56" s="273"/>
      <c r="AA56" s="91"/>
      <c r="AB56" s="91"/>
      <c r="AC56" s="91"/>
      <c r="AD56" s="91"/>
      <c r="AE56" s="91"/>
      <c r="AF56" s="91"/>
      <c r="AG56" s="91"/>
      <c r="AH56" s="91"/>
      <c r="AI56" s="91"/>
      <c r="AJ56" s="91"/>
      <c r="AK56" s="91"/>
      <c r="AL56" s="91"/>
      <c r="AM56" s="91"/>
      <c r="AN56" s="91"/>
      <c r="AO56" s="91"/>
      <c r="AP56" s="91"/>
      <c r="AQ56" s="91"/>
      <c r="AR56" s="91"/>
      <c r="AS56" s="91"/>
      <c r="AT56" s="91"/>
      <c r="AU56" s="91"/>
      <c r="AV56" s="91"/>
      <c r="AW56" s="91"/>
      <c r="AX56" s="91"/>
      <c r="AY56" s="91"/>
      <c r="AZ56" s="91"/>
      <c r="BA56" s="91"/>
      <c r="BB56" s="91"/>
      <c r="BC56" s="91"/>
      <c r="BD56" s="91"/>
      <c r="BE56" s="91"/>
      <c r="BF56" s="91"/>
      <c r="BG56" s="91"/>
      <c r="BH56" s="91"/>
      <c r="BI56" s="91"/>
      <c r="BJ56" s="91"/>
      <c r="BK56" s="91"/>
      <c r="BL56" s="91"/>
      <c r="BM56" s="91"/>
      <c r="BN56" s="91"/>
      <c r="BO56" s="91"/>
      <c r="BP56" s="91"/>
      <c r="BQ56" s="91"/>
      <c r="BR56" s="7"/>
    </row>
    <row r="57" spans="1:70">
      <c r="A57" s="35">
        <v>46092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91"/>
      <c r="P57" s="91"/>
      <c r="Q57" s="7"/>
      <c r="R57" s="91"/>
      <c r="S57" s="91"/>
      <c r="T57" s="7"/>
      <c r="U57" s="7"/>
      <c r="V57" s="7"/>
      <c r="W57" s="209"/>
      <c r="X57" s="7"/>
      <c r="Y57" s="271"/>
      <c r="Z57" s="273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91"/>
      <c r="AQ57" s="91"/>
      <c r="AR57" s="91"/>
      <c r="AS57" s="91"/>
      <c r="AT57" s="91"/>
      <c r="AU57" s="91"/>
      <c r="AV57" s="91"/>
      <c r="AW57" s="91"/>
      <c r="AX57" s="91"/>
      <c r="AY57" s="91"/>
      <c r="AZ57" s="91"/>
      <c r="BA57" s="91"/>
      <c r="BB57" s="91"/>
      <c r="BC57" s="91"/>
      <c r="BD57" s="91"/>
      <c r="BE57" s="91"/>
      <c r="BF57" s="91"/>
      <c r="BG57" s="91"/>
      <c r="BH57" s="91"/>
      <c r="BI57" s="91"/>
      <c r="BJ57" s="91"/>
      <c r="BK57" s="91"/>
      <c r="BL57" s="91"/>
      <c r="BM57" s="91"/>
      <c r="BN57" s="91"/>
      <c r="BO57" s="91"/>
      <c r="BP57" s="91"/>
      <c r="BQ57" s="91"/>
      <c r="BR57" s="7"/>
    </row>
    <row r="58" spans="1:70">
      <c r="A58" s="35">
        <v>46093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91"/>
      <c r="P58" s="91"/>
      <c r="Q58" s="7"/>
      <c r="R58" s="91"/>
      <c r="S58" s="91"/>
      <c r="T58" s="7"/>
      <c r="U58" s="7"/>
      <c r="V58" s="7"/>
      <c r="W58" s="209"/>
      <c r="X58" s="7"/>
      <c r="Y58" s="271"/>
      <c r="Z58" s="273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1"/>
      <c r="AM58" s="91"/>
      <c r="AN58" s="91"/>
      <c r="AO58" s="91"/>
      <c r="AP58" s="91"/>
      <c r="AQ58" s="91"/>
      <c r="AR58" s="91"/>
      <c r="AS58" s="91"/>
      <c r="AT58" s="91"/>
      <c r="AU58" s="91"/>
      <c r="AV58" s="91"/>
      <c r="AW58" s="91"/>
      <c r="AX58" s="91"/>
      <c r="AY58" s="91"/>
      <c r="AZ58" s="91"/>
      <c r="BA58" s="91"/>
      <c r="BB58" s="91"/>
      <c r="BC58" s="91"/>
      <c r="BD58" s="91"/>
      <c r="BE58" s="91"/>
      <c r="BF58" s="91"/>
      <c r="BG58" s="91"/>
      <c r="BH58" s="91"/>
      <c r="BI58" s="91"/>
      <c r="BJ58" s="91"/>
      <c r="BK58" s="91"/>
      <c r="BL58" s="91"/>
      <c r="BM58" s="91"/>
      <c r="BN58" s="91"/>
      <c r="BO58" s="91"/>
      <c r="BP58" s="91"/>
      <c r="BQ58" s="91"/>
      <c r="BR58" s="7"/>
    </row>
    <row r="59" spans="1:70">
      <c r="A59" s="35">
        <v>46094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91"/>
      <c r="P59" s="91"/>
      <c r="Q59" s="7"/>
      <c r="R59" s="91"/>
      <c r="S59" s="91"/>
      <c r="T59" s="7"/>
      <c r="U59" s="7"/>
      <c r="V59" s="7"/>
      <c r="W59" s="209"/>
      <c r="X59" s="7"/>
      <c r="Y59" s="271"/>
      <c r="Z59" s="273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91"/>
      <c r="AR59" s="91"/>
      <c r="AS59" s="91"/>
      <c r="AT59" s="91"/>
      <c r="AU59" s="91"/>
      <c r="AV59" s="91"/>
      <c r="AW59" s="91"/>
      <c r="AX59" s="91"/>
      <c r="AY59" s="91"/>
      <c r="AZ59" s="91"/>
      <c r="BA59" s="91"/>
      <c r="BB59" s="91"/>
      <c r="BC59" s="91"/>
      <c r="BD59" s="91"/>
      <c r="BE59" s="91"/>
      <c r="BF59" s="91"/>
      <c r="BG59" s="91"/>
      <c r="BH59" s="91"/>
      <c r="BI59" s="91"/>
      <c r="BJ59" s="91"/>
      <c r="BK59" s="91"/>
      <c r="BL59" s="91"/>
      <c r="BM59" s="91"/>
      <c r="BN59" s="91"/>
      <c r="BO59" s="91"/>
      <c r="BP59" s="91"/>
      <c r="BQ59" s="91"/>
      <c r="BR59" s="7"/>
    </row>
    <row r="60" spans="1:70">
      <c r="A60" s="35">
        <v>46095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91"/>
      <c r="P60" s="91"/>
      <c r="Q60" s="7"/>
      <c r="R60" s="91"/>
      <c r="S60" s="91"/>
      <c r="T60" s="7"/>
      <c r="U60" s="7"/>
      <c r="V60" s="7"/>
      <c r="W60" s="209"/>
      <c r="X60" s="7"/>
      <c r="Y60" s="271"/>
      <c r="Z60" s="273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91"/>
      <c r="AL60" s="91"/>
      <c r="AM60" s="91"/>
      <c r="AN60" s="91"/>
      <c r="AO60" s="91"/>
      <c r="AP60" s="91"/>
      <c r="AQ60" s="91"/>
      <c r="AR60" s="91"/>
      <c r="AS60" s="91"/>
      <c r="AT60" s="91"/>
      <c r="AU60" s="91"/>
      <c r="AV60" s="91"/>
      <c r="AW60" s="91"/>
      <c r="AX60" s="91"/>
      <c r="AY60" s="91"/>
      <c r="AZ60" s="91"/>
      <c r="BA60" s="91"/>
      <c r="BB60" s="91"/>
      <c r="BC60" s="91"/>
      <c r="BD60" s="91"/>
      <c r="BE60" s="91"/>
      <c r="BF60" s="91"/>
      <c r="BG60" s="91"/>
      <c r="BH60" s="91"/>
      <c r="BI60" s="91"/>
      <c r="BJ60" s="91"/>
      <c r="BK60" s="91"/>
      <c r="BL60" s="91"/>
      <c r="BM60" s="91"/>
      <c r="BN60" s="91"/>
      <c r="BO60" s="91"/>
      <c r="BP60" s="91"/>
      <c r="BQ60" s="91"/>
      <c r="BR60" s="7"/>
    </row>
    <row r="61" spans="1:70">
      <c r="A61" s="35">
        <v>46096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91"/>
      <c r="P61" s="91"/>
      <c r="Q61" s="7"/>
      <c r="R61" s="91"/>
      <c r="S61" s="91"/>
      <c r="T61" s="7"/>
      <c r="U61" s="7"/>
      <c r="V61" s="7"/>
      <c r="W61" s="209"/>
      <c r="X61" s="7"/>
      <c r="Y61" s="271"/>
      <c r="Z61" s="273"/>
      <c r="AA61" s="91"/>
      <c r="AB61" s="91"/>
      <c r="AC61" s="91"/>
      <c r="AD61" s="91"/>
      <c r="AE61" s="91"/>
      <c r="AF61" s="91"/>
      <c r="AG61" s="91"/>
      <c r="AH61" s="91"/>
      <c r="AI61" s="91"/>
      <c r="AJ61" s="91"/>
      <c r="AK61" s="91"/>
      <c r="AL61" s="91"/>
      <c r="AM61" s="91"/>
      <c r="AN61" s="91"/>
      <c r="AO61" s="91"/>
      <c r="AP61" s="91"/>
      <c r="AQ61" s="91"/>
      <c r="AR61" s="91"/>
      <c r="AS61" s="91"/>
      <c r="AT61" s="91"/>
      <c r="AU61" s="91"/>
      <c r="AV61" s="91"/>
      <c r="AW61" s="91"/>
      <c r="AX61" s="91"/>
      <c r="AY61" s="91"/>
      <c r="AZ61" s="91"/>
      <c r="BA61" s="91"/>
      <c r="BB61" s="91"/>
      <c r="BC61" s="91"/>
      <c r="BD61" s="91"/>
      <c r="BE61" s="91"/>
      <c r="BF61" s="91"/>
      <c r="BG61" s="91"/>
      <c r="BH61" s="91"/>
      <c r="BI61" s="91"/>
      <c r="BJ61" s="91"/>
      <c r="BK61" s="91"/>
      <c r="BL61" s="91"/>
      <c r="BM61" s="91"/>
      <c r="BN61" s="91"/>
      <c r="BO61" s="91"/>
      <c r="BP61" s="91"/>
      <c r="BQ61" s="91"/>
      <c r="BR61" s="7"/>
    </row>
    <row r="62" spans="1:70">
      <c r="A62" s="35">
        <v>46097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91"/>
      <c r="P62" s="91"/>
      <c r="Q62" s="7"/>
      <c r="R62" s="91"/>
      <c r="S62" s="91"/>
      <c r="T62" s="7"/>
      <c r="U62" s="7"/>
      <c r="V62" s="7"/>
      <c r="W62" s="209"/>
      <c r="X62" s="7"/>
      <c r="Y62" s="271"/>
      <c r="Z62" s="273"/>
      <c r="AA62" s="91"/>
      <c r="AB62" s="91"/>
      <c r="AC62" s="91"/>
      <c r="AD62" s="91"/>
      <c r="AE62" s="91"/>
      <c r="AF62" s="91"/>
      <c r="AG62" s="91"/>
      <c r="AH62" s="91"/>
      <c r="AI62" s="91"/>
      <c r="AJ62" s="91"/>
      <c r="AK62" s="91"/>
      <c r="AL62" s="91"/>
      <c r="AM62" s="91"/>
      <c r="AN62" s="91"/>
      <c r="AO62" s="91"/>
      <c r="AP62" s="91"/>
      <c r="AQ62" s="91"/>
      <c r="AR62" s="91"/>
      <c r="AS62" s="91"/>
      <c r="AT62" s="91"/>
      <c r="AU62" s="91"/>
      <c r="AV62" s="91"/>
      <c r="AW62" s="91"/>
      <c r="AX62" s="91"/>
      <c r="AY62" s="91"/>
      <c r="AZ62" s="91"/>
      <c r="BA62" s="91"/>
      <c r="BB62" s="91"/>
      <c r="BC62" s="91"/>
      <c r="BD62" s="91"/>
      <c r="BE62" s="91"/>
      <c r="BF62" s="91"/>
      <c r="BG62" s="91"/>
      <c r="BH62" s="91"/>
      <c r="BI62" s="91"/>
      <c r="BJ62" s="91"/>
      <c r="BK62" s="91"/>
      <c r="BL62" s="91"/>
      <c r="BM62" s="91"/>
      <c r="BN62" s="91"/>
      <c r="BO62" s="91"/>
      <c r="BP62" s="91"/>
      <c r="BQ62" s="91"/>
      <c r="BR62" s="7"/>
    </row>
    <row r="63" spans="1:70">
      <c r="A63" s="35">
        <v>46098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91"/>
      <c r="P63" s="91"/>
      <c r="Q63" s="7"/>
      <c r="R63" s="91"/>
      <c r="S63" s="91"/>
      <c r="T63" s="7"/>
      <c r="U63" s="7"/>
      <c r="V63" s="7"/>
      <c r="W63" s="209"/>
      <c r="X63" s="7"/>
      <c r="Y63" s="271"/>
      <c r="Z63" s="273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  <c r="AM63" s="91"/>
      <c r="AN63" s="91"/>
      <c r="AO63" s="91"/>
      <c r="AP63" s="91"/>
      <c r="AQ63" s="91"/>
      <c r="AR63" s="91"/>
      <c r="AS63" s="91"/>
      <c r="AT63" s="91"/>
      <c r="AU63" s="91"/>
      <c r="AV63" s="91"/>
      <c r="AW63" s="91"/>
      <c r="AX63" s="91"/>
      <c r="AY63" s="91"/>
      <c r="AZ63" s="91"/>
      <c r="BA63" s="91"/>
      <c r="BB63" s="91"/>
      <c r="BC63" s="91"/>
      <c r="BD63" s="91"/>
      <c r="BE63" s="91"/>
      <c r="BF63" s="91"/>
      <c r="BG63" s="91"/>
      <c r="BH63" s="91"/>
      <c r="BI63" s="91"/>
      <c r="BJ63" s="91"/>
      <c r="BK63" s="91"/>
      <c r="BL63" s="91"/>
      <c r="BM63" s="91"/>
      <c r="BN63" s="91"/>
      <c r="BO63" s="91"/>
      <c r="BP63" s="91"/>
      <c r="BQ63" s="91"/>
      <c r="BR63" s="7"/>
    </row>
    <row r="64" spans="1:70">
      <c r="A64" s="35">
        <v>46099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91"/>
      <c r="P64" s="91"/>
      <c r="Q64" s="7"/>
      <c r="R64" s="91"/>
      <c r="S64" s="91"/>
      <c r="T64" s="7"/>
      <c r="U64" s="7"/>
      <c r="V64" s="7"/>
      <c r="W64" s="209"/>
      <c r="X64" s="7"/>
      <c r="Y64" s="271"/>
      <c r="Z64" s="273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91"/>
      <c r="AL64" s="91"/>
      <c r="AM64" s="91"/>
      <c r="AN64" s="91"/>
      <c r="AO64" s="91"/>
      <c r="AP64" s="91"/>
      <c r="AQ64" s="91"/>
      <c r="AR64" s="91"/>
      <c r="AS64" s="91"/>
      <c r="AT64" s="91"/>
      <c r="AU64" s="91"/>
      <c r="AV64" s="91"/>
      <c r="AW64" s="91"/>
      <c r="AX64" s="91"/>
      <c r="AY64" s="91"/>
      <c r="AZ64" s="91"/>
      <c r="BA64" s="91"/>
      <c r="BB64" s="91"/>
      <c r="BC64" s="91"/>
      <c r="BD64" s="91"/>
      <c r="BE64" s="91"/>
      <c r="BF64" s="91"/>
      <c r="BG64" s="91"/>
      <c r="BH64" s="91"/>
      <c r="BI64" s="91"/>
      <c r="BJ64" s="91"/>
      <c r="BK64" s="91"/>
      <c r="BL64" s="91"/>
      <c r="BM64" s="91"/>
      <c r="BN64" s="91"/>
      <c r="BO64" s="91"/>
      <c r="BP64" s="91"/>
      <c r="BQ64" s="91"/>
      <c r="BR64" s="7"/>
    </row>
    <row r="65" spans="1:70">
      <c r="A65" s="35">
        <v>46100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91"/>
      <c r="P65" s="91"/>
      <c r="Q65" s="7"/>
      <c r="R65" s="91"/>
      <c r="S65" s="91"/>
      <c r="T65" s="7"/>
      <c r="U65" s="7"/>
      <c r="V65" s="7"/>
      <c r="W65" s="209"/>
      <c r="X65" s="7"/>
      <c r="Y65" s="271"/>
      <c r="Z65" s="273"/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91"/>
      <c r="AM65" s="91"/>
      <c r="AN65" s="91"/>
      <c r="AO65" s="91"/>
      <c r="AP65" s="91"/>
      <c r="AQ65" s="91"/>
      <c r="AR65" s="91"/>
      <c r="AS65" s="91"/>
      <c r="AT65" s="91"/>
      <c r="AU65" s="91"/>
      <c r="AV65" s="91"/>
      <c r="AW65" s="91"/>
      <c r="AX65" s="91"/>
      <c r="AY65" s="91"/>
      <c r="AZ65" s="91"/>
      <c r="BA65" s="91"/>
      <c r="BB65" s="91"/>
      <c r="BC65" s="91"/>
      <c r="BD65" s="91"/>
      <c r="BE65" s="91"/>
      <c r="BF65" s="91"/>
      <c r="BG65" s="91"/>
      <c r="BH65" s="91"/>
      <c r="BI65" s="91"/>
      <c r="BJ65" s="91"/>
      <c r="BK65" s="91"/>
      <c r="BL65" s="91"/>
      <c r="BM65" s="91"/>
      <c r="BN65" s="91"/>
      <c r="BO65" s="91"/>
      <c r="BP65" s="91"/>
      <c r="BQ65" s="91"/>
      <c r="BR65" s="7"/>
    </row>
    <row r="66" spans="1:70">
      <c r="A66" s="35">
        <v>46101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91"/>
      <c r="P66" s="91"/>
      <c r="Q66" s="7"/>
      <c r="R66" s="91"/>
      <c r="S66" s="91"/>
      <c r="T66" s="7"/>
      <c r="U66" s="7"/>
      <c r="V66" s="7"/>
      <c r="W66" s="209"/>
      <c r="X66" s="7"/>
      <c r="Y66" s="271"/>
      <c r="Z66" s="273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1"/>
      <c r="AL66" s="91"/>
      <c r="AM66" s="91"/>
      <c r="AN66" s="91"/>
      <c r="AO66" s="91"/>
      <c r="AP66" s="91"/>
      <c r="AQ66" s="91"/>
      <c r="AR66" s="91"/>
      <c r="AS66" s="91"/>
      <c r="AT66" s="91"/>
      <c r="AU66" s="91"/>
      <c r="AV66" s="91"/>
      <c r="AW66" s="91"/>
      <c r="AX66" s="91"/>
      <c r="AY66" s="91"/>
      <c r="AZ66" s="91"/>
      <c r="BA66" s="91"/>
      <c r="BB66" s="91"/>
      <c r="BC66" s="91"/>
      <c r="BD66" s="91"/>
      <c r="BE66" s="91"/>
      <c r="BF66" s="91"/>
      <c r="BG66" s="91"/>
      <c r="BH66" s="91"/>
      <c r="BI66" s="91"/>
      <c r="BJ66" s="91"/>
      <c r="BK66" s="91"/>
      <c r="BL66" s="91"/>
      <c r="BM66" s="91"/>
      <c r="BN66" s="91"/>
      <c r="BO66" s="91"/>
      <c r="BP66" s="91"/>
      <c r="BQ66" s="91"/>
      <c r="BR66" s="7"/>
    </row>
    <row r="67" spans="1:70">
      <c r="A67" s="35">
        <v>46102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91"/>
      <c r="P67" s="91"/>
      <c r="Q67" s="7"/>
      <c r="R67" s="91"/>
      <c r="S67" s="91"/>
      <c r="T67" s="7"/>
      <c r="U67" s="7"/>
      <c r="V67" s="7"/>
      <c r="W67" s="209"/>
      <c r="X67" s="7"/>
      <c r="Y67" s="271"/>
      <c r="Z67" s="273"/>
      <c r="AA67" s="91"/>
      <c r="AB67" s="91"/>
      <c r="AC67" s="91"/>
      <c r="AD67" s="91"/>
      <c r="AE67" s="91"/>
      <c r="AF67" s="91"/>
      <c r="AG67" s="91"/>
      <c r="AH67" s="91"/>
      <c r="AI67" s="91"/>
      <c r="AJ67" s="91"/>
      <c r="AK67" s="91"/>
      <c r="AL67" s="91"/>
      <c r="AM67" s="91"/>
      <c r="AN67" s="91"/>
      <c r="AO67" s="91"/>
      <c r="AP67" s="91"/>
      <c r="AQ67" s="91"/>
      <c r="AR67" s="91"/>
      <c r="AS67" s="91"/>
      <c r="AT67" s="91"/>
      <c r="AU67" s="91"/>
      <c r="AV67" s="91"/>
      <c r="AW67" s="91"/>
      <c r="AX67" s="91"/>
      <c r="AY67" s="91"/>
      <c r="AZ67" s="91"/>
      <c r="BA67" s="91"/>
      <c r="BB67" s="91"/>
      <c r="BC67" s="91"/>
      <c r="BD67" s="91"/>
      <c r="BE67" s="91"/>
      <c r="BF67" s="91"/>
      <c r="BG67" s="91"/>
      <c r="BH67" s="91"/>
      <c r="BI67" s="91"/>
      <c r="BJ67" s="91"/>
      <c r="BK67" s="91"/>
      <c r="BL67" s="91"/>
      <c r="BM67" s="91"/>
      <c r="BN67" s="91"/>
      <c r="BO67" s="91"/>
      <c r="BP67" s="91"/>
      <c r="BQ67" s="91"/>
      <c r="BR67" s="7"/>
    </row>
    <row r="68" spans="1:70">
      <c r="A68" s="35">
        <v>46103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91"/>
      <c r="P68" s="91"/>
      <c r="Q68" s="7"/>
      <c r="R68" s="91"/>
      <c r="S68" s="91"/>
      <c r="T68" s="7"/>
      <c r="U68" s="7"/>
      <c r="V68" s="7"/>
      <c r="W68" s="209"/>
      <c r="X68" s="7"/>
      <c r="Y68" s="271"/>
      <c r="Z68" s="273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  <c r="AM68" s="91"/>
      <c r="AN68" s="91"/>
      <c r="AO68" s="91"/>
      <c r="AP68" s="91"/>
      <c r="AQ68" s="91"/>
      <c r="AR68" s="91"/>
      <c r="AS68" s="91"/>
      <c r="AT68" s="91"/>
      <c r="AU68" s="91"/>
      <c r="AV68" s="91"/>
      <c r="AW68" s="91"/>
      <c r="AX68" s="91"/>
      <c r="AY68" s="91"/>
      <c r="AZ68" s="91"/>
      <c r="BA68" s="91"/>
      <c r="BB68" s="91"/>
      <c r="BC68" s="91"/>
      <c r="BD68" s="91"/>
      <c r="BE68" s="91"/>
      <c r="BF68" s="91"/>
      <c r="BG68" s="91"/>
      <c r="BH68" s="91"/>
      <c r="BI68" s="91"/>
      <c r="BJ68" s="91"/>
      <c r="BK68" s="91"/>
      <c r="BL68" s="91"/>
      <c r="BM68" s="91"/>
      <c r="BN68" s="91"/>
      <c r="BO68" s="91"/>
      <c r="BP68" s="91"/>
      <c r="BQ68" s="91"/>
      <c r="BR68" s="7"/>
    </row>
    <row r="69" spans="1:70">
      <c r="A69" s="198">
        <v>46104</v>
      </c>
      <c r="X69" s="7"/>
      <c r="Y69" s="271"/>
      <c r="Z69" s="273"/>
      <c r="AA69" s="91"/>
      <c r="AB69" s="91"/>
      <c r="AC69" s="91"/>
      <c r="AD69" s="91"/>
      <c r="AE69" s="91"/>
      <c r="AF69" s="91"/>
      <c r="AG69" s="91"/>
      <c r="AH69" s="91"/>
      <c r="AI69" s="91"/>
      <c r="AJ69" s="91"/>
      <c r="AK69" s="91"/>
      <c r="AL69" s="91"/>
      <c r="AM69" s="91"/>
      <c r="AN69" s="91"/>
      <c r="AO69" s="91"/>
      <c r="AP69" s="91"/>
      <c r="AQ69" s="91"/>
      <c r="AR69" s="91"/>
      <c r="AS69" s="91"/>
      <c r="AT69" s="91"/>
      <c r="AU69" s="91"/>
      <c r="AV69" s="91"/>
      <c r="AW69" s="91"/>
      <c r="AX69" s="91"/>
      <c r="AY69" s="91"/>
      <c r="AZ69" s="91"/>
      <c r="BA69" s="91"/>
      <c r="BB69" s="91"/>
      <c r="BC69" s="91"/>
      <c r="BD69" s="91"/>
      <c r="BE69" s="91"/>
      <c r="BF69" s="91"/>
      <c r="BG69" s="91"/>
      <c r="BH69" s="91"/>
      <c r="BI69" s="91"/>
      <c r="BJ69" s="91"/>
      <c r="BK69" s="91"/>
      <c r="BL69" s="91"/>
      <c r="BM69" s="91"/>
      <c r="BN69" s="91"/>
      <c r="BO69" s="91"/>
      <c r="BP69" s="91"/>
      <c r="BQ69" s="91"/>
      <c r="BR69" s="7"/>
    </row>
    <row r="70" spans="1:70">
      <c r="A70" s="35">
        <v>46105</v>
      </c>
      <c r="X70" s="7"/>
      <c r="Y70" s="271"/>
      <c r="Z70" s="273"/>
      <c r="AA70" s="91"/>
      <c r="AB70" s="91"/>
      <c r="AC70" s="91"/>
      <c r="AD70" s="91"/>
      <c r="AE70" s="91"/>
      <c r="AF70" s="91"/>
      <c r="AG70" s="91"/>
      <c r="AH70" s="91"/>
      <c r="AI70" s="91"/>
      <c r="AJ70" s="91"/>
      <c r="AK70" s="91"/>
      <c r="AL70" s="91"/>
      <c r="AM70" s="91"/>
      <c r="AN70" s="91"/>
      <c r="AO70" s="91"/>
      <c r="AP70" s="91"/>
      <c r="AQ70" s="91"/>
      <c r="AR70" s="91"/>
      <c r="AS70" s="91"/>
      <c r="AT70" s="91"/>
      <c r="AU70" s="91"/>
      <c r="AV70" s="91"/>
      <c r="AW70" s="91"/>
      <c r="AX70" s="91"/>
      <c r="AY70" s="91"/>
      <c r="AZ70" s="91"/>
      <c r="BA70" s="91"/>
      <c r="BB70" s="91"/>
      <c r="BC70" s="91"/>
      <c r="BD70" s="91"/>
      <c r="BE70" s="91"/>
      <c r="BF70" s="91"/>
      <c r="BG70" s="91"/>
      <c r="BH70" s="91"/>
      <c r="BI70" s="91"/>
      <c r="BJ70" s="91"/>
      <c r="BK70" s="91"/>
      <c r="BL70" s="91"/>
      <c r="BM70" s="91"/>
      <c r="BN70" s="91"/>
      <c r="BO70" s="91"/>
      <c r="BP70" s="91"/>
      <c r="BQ70" s="91"/>
      <c r="BR70" s="7"/>
    </row>
    <row r="71" spans="1:70">
      <c r="A71" s="35">
        <v>46106</v>
      </c>
      <c r="X71" s="7"/>
      <c r="Y71" s="271"/>
      <c r="Z71" s="273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91"/>
      <c r="AL71" s="91"/>
      <c r="AM71" s="91"/>
      <c r="AN71" s="91"/>
      <c r="AO71" s="91"/>
      <c r="AP71" s="91"/>
      <c r="AQ71" s="91"/>
      <c r="AR71" s="91"/>
      <c r="AS71" s="91"/>
      <c r="AT71" s="91"/>
      <c r="AU71" s="91"/>
      <c r="AV71" s="91"/>
      <c r="AW71" s="91"/>
      <c r="AX71" s="91"/>
      <c r="AY71" s="91"/>
      <c r="AZ71" s="91"/>
      <c r="BA71" s="91"/>
      <c r="BB71" s="91"/>
      <c r="BC71" s="91"/>
      <c r="BD71" s="91"/>
      <c r="BE71" s="91"/>
      <c r="BF71" s="91"/>
      <c r="BG71" s="91"/>
      <c r="BH71" s="91"/>
      <c r="BI71" s="91"/>
      <c r="BJ71" s="91"/>
      <c r="BK71" s="91"/>
      <c r="BL71" s="91"/>
      <c r="BM71" s="91"/>
      <c r="BN71" s="91"/>
      <c r="BO71" s="91"/>
      <c r="BP71" s="91"/>
      <c r="BQ71" s="91"/>
      <c r="BR71" s="7"/>
    </row>
    <row r="72" spans="1:70">
      <c r="A72" s="35">
        <v>46107</v>
      </c>
      <c r="X72" s="7"/>
      <c r="Y72" s="271"/>
      <c r="Z72" s="273"/>
      <c r="AA72" s="91"/>
      <c r="AB72" s="91"/>
      <c r="AC72" s="91"/>
      <c r="AD72" s="91"/>
      <c r="AE72" s="91"/>
      <c r="AF72" s="91"/>
      <c r="AG72" s="91"/>
      <c r="AH72" s="91"/>
      <c r="AI72" s="91"/>
      <c r="AJ72" s="91"/>
      <c r="AK72" s="91"/>
      <c r="AL72" s="91"/>
      <c r="AM72" s="91"/>
      <c r="AN72" s="91"/>
      <c r="AO72" s="91"/>
      <c r="AP72" s="91"/>
      <c r="AQ72" s="91"/>
      <c r="AR72" s="91"/>
      <c r="AS72" s="91"/>
      <c r="AT72" s="91"/>
      <c r="AU72" s="91"/>
      <c r="AV72" s="91"/>
      <c r="AW72" s="91"/>
      <c r="AX72" s="91"/>
      <c r="AY72" s="91"/>
      <c r="AZ72" s="91"/>
      <c r="BA72" s="91"/>
      <c r="BB72" s="91"/>
      <c r="BC72" s="91"/>
      <c r="BD72" s="91"/>
      <c r="BE72" s="91"/>
      <c r="BF72" s="91"/>
      <c r="BG72" s="91"/>
      <c r="BH72" s="91"/>
      <c r="BI72" s="91"/>
      <c r="BJ72" s="91"/>
      <c r="BK72" s="91"/>
      <c r="BL72" s="91"/>
      <c r="BM72" s="91"/>
      <c r="BN72" s="91"/>
      <c r="BO72" s="91"/>
      <c r="BP72" s="91"/>
      <c r="BQ72" s="91"/>
      <c r="BR72" s="7"/>
    </row>
    <row r="73" spans="1:70">
      <c r="A73" s="35">
        <v>46108</v>
      </c>
      <c r="X73" s="7"/>
      <c r="Y73" s="271"/>
      <c r="Z73" s="273"/>
      <c r="AA73" s="91"/>
      <c r="AB73" s="91"/>
      <c r="AC73" s="91"/>
      <c r="AD73" s="91"/>
      <c r="AE73" s="91"/>
      <c r="AF73" s="91"/>
      <c r="AG73" s="91"/>
      <c r="AH73" s="91"/>
      <c r="AI73" s="91"/>
      <c r="AJ73" s="91"/>
      <c r="AK73" s="91"/>
      <c r="AL73" s="91"/>
      <c r="AM73" s="91"/>
      <c r="AN73" s="91"/>
      <c r="AO73" s="91"/>
      <c r="AP73" s="91"/>
      <c r="AQ73" s="91"/>
      <c r="AR73" s="91"/>
      <c r="AS73" s="91"/>
      <c r="AT73" s="91"/>
      <c r="AU73" s="91"/>
      <c r="AV73" s="91"/>
      <c r="AW73" s="91"/>
      <c r="AX73" s="91"/>
      <c r="AY73" s="91"/>
      <c r="AZ73" s="91"/>
      <c r="BA73" s="91"/>
      <c r="BB73" s="91"/>
      <c r="BC73" s="91"/>
      <c r="BD73" s="91"/>
      <c r="BE73" s="91"/>
      <c r="BF73" s="91"/>
      <c r="BG73" s="91"/>
      <c r="BH73" s="91"/>
      <c r="BI73" s="91"/>
      <c r="BJ73" s="91"/>
      <c r="BK73" s="91"/>
      <c r="BL73" s="91"/>
      <c r="BM73" s="91"/>
      <c r="BN73" s="91"/>
      <c r="BO73" s="91"/>
      <c r="BP73" s="91"/>
      <c r="BQ73" s="91"/>
      <c r="BR73" s="7"/>
    </row>
    <row r="74" spans="1:70">
      <c r="A74" s="35">
        <v>46109</v>
      </c>
      <c r="X74" s="7"/>
      <c r="Y74" s="271"/>
      <c r="Z74" s="273"/>
      <c r="AA74" s="91"/>
      <c r="AB74" s="91"/>
      <c r="AC74" s="91"/>
      <c r="AD74" s="91"/>
      <c r="AE74" s="91"/>
      <c r="AF74" s="91"/>
      <c r="AG74" s="91"/>
      <c r="AH74" s="91"/>
      <c r="AI74" s="91"/>
      <c r="AJ74" s="91"/>
      <c r="AK74" s="91"/>
      <c r="AL74" s="91"/>
      <c r="AM74" s="91"/>
      <c r="AN74" s="91"/>
      <c r="AO74" s="91"/>
      <c r="AP74" s="91"/>
      <c r="AQ74" s="91"/>
      <c r="AR74" s="91"/>
      <c r="AS74" s="91"/>
      <c r="AT74" s="91"/>
      <c r="AU74" s="91"/>
      <c r="AV74" s="91"/>
      <c r="AW74" s="91"/>
      <c r="AX74" s="91"/>
      <c r="AY74" s="91"/>
      <c r="AZ74" s="91"/>
      <c r="BA74" s="91"/>
      <c r="BB74" s="91"/>
      <c r="BC74" s="91"/>
      <c r="BD74" s="91"/>
      <c r="BE74" s="91"/>
      <c r="BF74" s="91"/>
      <c r="BG74" s="91"/>
      <c r="BH74" s="91"/>
      <c r="BI74" s="91"/>
      <c r="BJ74" s="91"/>
      <c r="BK74" s="91"/>
      <c r="BL74" s="91"/>
      <c r="BM74" s="91"/>
      <c r="BN74" s="91"/>
      <c r="BO74" s="91"/>
      <c r="BP74" s="91"/>
      <c r="BQ74" s="91"/>
      <c r="BR74" s="7"/>
    </row>
    <row r="75" spans="1:70">
      <c r="A75" s="35">
        <v>46110</v>
      </c>
      <c r="X75" s="7"/>
      <c r="Y75" s="271"/>
      <c r="Z75" s="273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  <c r="AM75" s="91"/>
      <c r="AN75" s="91"/>
      <c r="AO75" s="91"/>
      <c r="AP75" s="91"/>
      <c r="AQ75" s="91"/>
      <c r="AR75" s="91"/>
      <c r="AS75" s="91"/>
      <c r="AT75" s="91"/>
      <c r="AU75" s="91"/>
      <c r="AV75" s="91"/>
      <c r="AW75" s="91"/>
      <c r="AX75" s="91"/>
      <c r="AY75" s="91"/>
      <c r="AZ75" s="91"/>
      <c r="BA75" s="91"/>
      <c r="BB75" s="91"/>
      <c r="BC75" s="91"/>
      <c r="BD75" s="91"/>
      <c r="BE75" s="91"/>
      <c r="BF75" s="91"/>
      <c r="BG75" s="91"/>
      <c r="BH75" s="91"/>
      <c r="BI75" s="91"/>
      <c r="BJ75" s="91"/>
      <c r="BK75" s="91"/>
      <c r="BL75" s="91"/>
      <c r="BM75" s="91"/>
      <c r="BN75" s="91"/>
      <c r="BO75" s="91"/>
      <c r="BP75" s="91"/>
      <c r="BQ75" s="91"/>
      <c r="BR75" s="7"/>
    </row>
    <row r="76" spans="1:70">
      <c r="A76" s="35">
        <v>46111</v>
      </c>
    </row>
    <row r="77" spans="1:70">
      <c r="A77" s="35">
        <v>46112</v>
      </c>
    </row>
    <row r="78" spans="1:70">
      <c r="A78" s="35">
        <v>46113</v>
      </c>
    </row>
    <row r="79" spans="1:70">
      <c r="A79" s="35">
        <v>46114</v>
      </c>
    </row>
    <row r="80" spans="1:70">
      <c r="A80" s="35">
        <v>46115</v>
      </c>
    </row>
    <row r="81" spans="1:1">
      <c r="A81" s="35">
        <v>46116</v>
      </c>
    </row>
    <row r="82" spans="1:1">
      <c r="A82" s="35">
        <v>46117</v>
      </c>
    </row>
    <row r="83" spans="1:1">
      <c r="A83" s="35">
        <v>46118</v>
      </c>
    </row>
    <row r="84" spans="1:1">
      <c r="A84" s="35">
        <v>46119</v>
      </c>
    </row>
    <row r="85" spans="1:1">
      <c r="A85" s="35">
        <v>46120</v>
      </c>
    </row>
    <row r="86" spans="1:1">
      <c r="A86" s="35">
        <v>46121</v>
      </c>
    </row>
    <row r="87" spans="1:1">
      <c r="A87" s="35">
        <v>46122</v>
      </c>
    </row>
    <row r="88" spans="1:1">
      <c r="A88" s="35">
        <v>46123</v>
      </c>
    </row>
    <row r="89" spans="1:1">
      <c r="A89" s="35">
        <v>46124</v>
      </c>
    </row>
    <row r="90" spans="1:1">
      <c r="A90" s="35">
        <v>46125</v>
      </c>
    </row>
    <row r="91" spans="1:1">
      <c r="A91" s="35">
        <v>46126</v>
      </c>
    </row>
    <row r="92" spans="1:1">
      <c r="A92" s="35">
        <v>46127</v>
      </c>
    </row>
    <row r="93" spans="1:1">
      <c r="A93" s="35">
        <v>46128</v>
      </c>
    </row>
    <row r="94" spans="1:1">
      <c r="A94" s="35">
        <v>46129</v>
      </c>
    </row>
    <row r="95" spans="1:1">
      <c r="A95" s="35">
        <v>46130</v>
      </c>
    </row>
    <row r="96" spans="1:1">
      <c r="A96" s="35">
        <v>46131</v>
      </c>
    </row>
    <row r="97" spans="1:1">
      <c r="A97" s="35">
        <v>46132</v>
      </c>
    </row>
    <row r="98" spans="1:1">
      <c r="A98" s="35">
        <v>46133</v>
      </c>
    </row>
    <row r="99" spans="1:1">
      <c r="A99" s="35">
        <v>46134</v>
      </c>
    </row>
    <row r="100" spans="1:1">
      <c r="A100" s="35">
        <v>46135</v>
      </c>
    </row>
    <row r="101" spans="1:1">
      <c r="A101" s="35">
        <v>46136</v>
      </c>
    </row>
    <row r="102" spans="1:1">
      <c r="A102" s="35">
        <v>46137</v>
      </c>
    </row>
    <row r="103" spans="1:1">
      <c r="A103" s="35">
        <v>46138</v>
      </c>
    </row>
    <row r="104" spans="1:1">
      <c r="A104" s="35">
        <v>46139</v>
      </c>
    </row>
    <row r="105" spans="1:1">
      <c r="A105" s="35">
        <v>46140</v>
      </c>
    </row>
    <row r="106" spans="1:1">
      <c r="A106" s="35">
        <v>46141</v>
      </c>
    </row>
    <row r="107" spans="1:1">
      <c r="A107" s="35">
        <v>46142</v>
      </c>
    </row>
    <row r="108" spans="1:1">
      <c r="A108" s="35">
        <v>46143</v>
      </c>
    </row>
    <row r="109" spans="1:1">
      <c r="A109" s="35">
        <v>46144</v>
      </c>
    </row>
    <row r="110" spans="1:1">
      <c r="A110" s="35">
        <v>46145</v>
      </c>
    </row>
    <row r="111" spans="1:1">
      <c r="A111" s="35">
        <v>46146</v>
      </c>
    </row>
    <row r="112" spans="1:1">
      <c r="A112" s="35">
        <v>46147</v>
      </c>
    </row>
    <row r="113" spans="1:1">
      <c r="A113" s="35">
        <v>46148</v>
      </c>
    </row>
    <row r="114" spans="1:1">
      <c r="A114" s="35">
        <v>46149</v>
      </c>
    </row>
    <row r="115" spans="1:1">
      <c r="A115" s="35">
        <v>46150</v>
      </c>
    </row>
    <row r="116" spans="1:1">
      <c r="A116" s="35">
        <v>46151</v>
      </c>
    </row>
    <row r="117" spans="1:1">
      <c r="A117" s="35">
        <v>46152</v>
      </c>
    </row>
    <row r="118" spans="1:1">
      <c r="A118" s="35">
        <v>46153</v>
      </c>
    </row>
    <row r="119" spans="1:1">
      <c r="A119" s="35">
        <v>46154</v>
      </c>
    </row>
    <row r="120" spans="1:1">
      <c r="A120" s="35">
        <v>46155</v>
      </c>
    </row>
    <row r="121" spans="1:1">
      <c r="A121" s="35">
        <v>46156</v>
      </c>
    </row>
    <row r="122" spans="1:1">
      <c r="A122" s="35">
        <v>46157</v>
      </c>
    </row>
    <row r="123" spans="1:1">
      <c r="A123" s="35">
        <v>46158</v>
      </c>
    </row>
    <row r="124" spans="1:1">
      <c r="A124" s="35">
        <v>46159</v>
      </c>
    </row>
    <row r="125" spans="1:1">
      <c r="A125" s="35">
        <v>46160</v>
      </c>
    </row>
    <row r="126" spans="1:1">
      <c r="A126" s="35">
        <v>46161</v>
      </c>
    </row>
    <row r="127" spans="1:1">
      <c r="A127" s="35">
        <v>46162</v>
      </c>
    </row>
    <row r="128" spans="1:1">
      <c r="A128" s="35">
        <v>46163</v>
      </c>
    </row>
    <row r="129" spans="1:1">
      <c r="A129" s="35">
        <v>46164</v>
      </c>
    </row>
    <row r="130" spans="1:1">
      <c r="A130" s="35">
        <v>46165</v>
      </c>
    </row>
    <row r="131" spans="1:1">
      <c r="A131" s="35">
        <v>46166</v>
      </c>
    </row>
    <row r="132" spans="1:1">
      <c r="A132" s="35">
        <v>46167</v>
      </c>
    </row>
    <row r="133" spans="1:1">
      <c r="A133" s="35">
        <v>46168</v>
      </c>
    </row>
    <row r="134" spans="1:1">
      <c r="A134" s="35">
        <v>46169</v>
      </c>
    </row>
    <row r="135" spans="1:1">
      <c r="A135" s="35">
        <v>46170</v>
      </c>
    </row>
    <row r="136" spans="1:1">
      <c r="A136" s="35">
        <v>46171</v>
      </c>
    </row>
    <row r="137" spans="1:1">
      <c r="A137" s="35">
        <v>46172</v>
      </c>
    </row>
    <row r="138" spans="1:1">
      <c r="A138" s="35">
        <v>46173</v>
      </c>
    </row>
    <row r="139" spans="1:1">
      <c r="A139" s="35">
        <v>46174</v>
      </c>
    </row>
    <row r="140" spans="1:1">
      <c r="A140" s="35">
        <v>46175</v>
      </c>
    </row>
    <row r="141" spans="1:1">
      <c r="A141" s="35">
        <v>46176</v>
      </c>
    </row>
    <row r="142" spans="1:1">
      <c r="A142" s="35">
        <v>46177</v>
      </c>
    </row>
    <row r="143" spans="1:1">
      <c r="A143" s="35">
        <v>46178</v>
      </c>
    </row>
    <row r="144" spans="1:1">
      <c r="A144" s="35">
        <v>46179</v>
      </c>
    </row>
    <row r="145" spans="1:1">
      <c r="A145" s="35">
        <v>46180</v>
      </c>
    </row>
    <row r="146" spans="1:1">
      <c r="A146" s="35">
        <v>46181</v>
      </c>
    </row>
    <row r="147" spans="1:1">
      <c r="A147" s="35">
        <v>46182</v>
      </c>
    </row>
    <row r="148" spans="1:1">
      <c r="A148" s="35">
        <v>46183</v>
      </c>
    </row>
    <row r="149" spans="1:1">
      <c r="A149" s="35">
        <v>46184</v>
      </c>
    </row>
    <row r="150" spans="1:1">
      <c r="A150" s="35">
        <v>46185</v>
      </c>
    </row>
    <row r="151" spans="1:1">
      <c r="A151" s="35">
        <v>46186</v>
      </c>
    </row>
    <row r="152" spans="1:1">
      <c r="A152" s="35">
        <v>46187</v>
      </c>
    </row>
    <row r="153" spans="1:1">
      <c r="A153" s="35">
        <v>46188</v>
      </c>
    </row>
    <row r="154" spans="1:1">
      <c r="A154" s="35">
        <v>46189</v>
      </c>
    </row>
    <row r="155" spans="1:1">
      <c r="A155" s="35">
        <v>46190</v>
      </c>
    </row>
    <row r="156" spans="1:1">
      <c r="A156" s="35">
        <v>46191</v>
      </c>
    </row>
    <row r="157" spans="1:1">
      <c r="A157" s="35">
        <v>46192</v>
      </c>
    </row>
    <row r="158" spans="1:1">
      <c r="A158" s="35">
        <v>46193</v>
      </c>
    </row>
    <row r="159" spans="1:1">
      <c r="A159" s="35">
        <v>46194</v>
      </c>
    </row>
    <row r="160" spans="1:1">
      <c r="A160" s="35">
        <v>46195</v>
      </c>
    </row>
    <row r="161" spans="1:1">
      <c r="A161" s="35">
        <v>46196</v>
      </c>
    </row>
    <row r="162" spans="1:1">
      <c r="A162" s="35">
        <v>46197</v>
      </c>
    </row>
    <row r="163" spans="1:1">
      <c r="A163" s="35">
        <v>46198</v>
      </c>
    </row>
    <row r="164" spans="1:1">
      <c r="A164" s="35">
        <v>46199</v>
      </c>
    </row>
    <row r="165" spans="1:1">
      <c r="A165" s="35">
        <v>46200</v>
      </c>
    </row>
    <row r="166" spans="1:1">
      <c r="A166" s="35">
        <v>46201</v>
      </c>
    </row>
    <row r="167" spans="1:1">
      <c r="A167" s="35">
        <v>46202</v>
      </c>
    </row>
    <row r="168" spans="1:1">
      <c r="A168" s="35">
        <v>46203</v>
      </c>
    </row>
    <row r="169" spans="1:1">
      <c r="A169" s="35">
        <v>46204</v>
      </c>
    </row>
    <row r="170" spans="1:1">
      <c r="A170" s="35">
        <v>46205</v>
      </c>
    </row>
    <row r="171" spans="1:1">
      <c r="A171" s="35">
        <v>46206</v>
      </c>
    </row>
    <row r="172" spans="1:1">
      <c r="A172" s="35">
        <v>46207</v>
      </c>
    </row>
    <row r="173" spans="1:1">
      <c r="A173" s="35">
        <v>46208</v>
      </c>
    </row>
    <row r="174" spans="1:1">
      <c r="A174" s="35">
        <v>46209</v>
      </c>
    </row>
    <row r="175" spans="1:1">
      <c r="A175" s="35">
        <v>46210</v>
      </c>
    </row>
    <row r="176" spans="1:1">
      <c r="A176" s="35">
        <v>46211</v>
      </c>
    </row>
    <row r="177" spans="1:1">
      <c r="A177" s="35">
        <v>46212</v>
      </c>
    </row>
    <row r="178" spans="1:1">
      <c r="A178" s="35">
        <v>46213</v>
      </c>
    </row>
    <row r="179" spans="1:1">
      <c r="A179" s="35">
        <v>46214</v>
      </c>
    </row>
    <row r="180" spans="1:1">
      <c r="A180" s="35">
        <v>46215</v>
      </c>
    </row>
    <row r="181" spans="1:1">
      <c r="A181" s="35">
        <v>46216</v>
      </c>
    </row>
    <row r="182" spans="1:1">
      <c r="A182" s="35">
        <v>46217</v>
      </c>
    </row>
    <row r="183" spans="1:1">
      <c r="A183" s="35">
        <v>46218</v>
      </c>
    </row>
    <row r="184" spans="1:1">
      <c r="A184" s="35">
        <v>46219</v>
      </c>
    </row>
    <row r="185" spans="1:1">
      <c r="A185" s="35">
        <v>46220</v>
      </c>
    </row>
    <row r="186" spans="1:1">
      <c r="A186" s="35">
        <v>46221</v>
      </c>
    </row>
    <row r="187" spans="1:1">
      <c r="A187" s="35">
        <v>46222</v>
      </c>
    </row>
    <row r="188" spans="1:1">
      <c r="A188" s="35">
        <v>46223</v>
      </c>
    </row>
    <row r="189" spans="1:1">
      <c r="A189" s="35">
        <v>46224</v>
      </c>
    </row>
    <row r="190" spans="1:1">
      <c r="A190" s="35">
        <v>46225</v>
      </c>
    </row>
    <row r="191" spans="1:1">
      <c r="A191" s="35">
        <v>46226</v>
      </c>
    </row>
    <row r="192" spans="1:1">
      <c r="A192" s="35">
        <v>46227</v>
      </c>
    </row>
    <row r="193" spans="1:1">
      <c r="A193" s="35">
        <v>46228</v>
      </c>
    </row>
    <row r="194" spans="1:1">
      <c r="A194" s="35">
        <v>46229</v>
      </c>
    </row>
    <row r="195" spans="1:1">
      <c r="A195" s="35">
        <v>46230</v>
      </c>
    </row>
    <row r="196" spans="1:1">
      <c r="A196" s="35">
        <v>46231</v>
      </c>
    </row>
    <row r="197" spans="1:1">
      <c r="A197" s="35">
        <v>46232</v>
      </c>
    </row>
    <row r="198" spans="1:1">
      <c r="A198" s="35">
        <v>46233</v>
      </c>
    </row>
    <row r="199" spans="1:1">
      <c r="A199" s="35">
        <v>46234</v>
      </c>
    </row>
    <row r="200" spans="1:1">
      <c r="A200" s="35">
        <v>46235</v>
      </c>
    </row>
    <row r="201" spans="1:1">
      <c r="A201" s="35">
        <v>46236</v>
      </c>
    </row>
    <row r="202" spans="1:1">
      <c r="A202" s="35">
        <v>46237</v>
      </c>
    </row>
    <row r="203" spans="1:1">
      <c r="A203" s="35">
        <v>46238</v>
      </c>
    </row>
    <row r="204" spans="1:1">
      <c r="A204" s="35">
        <v>46239</v>
      </c>
    </row>
    <row r="205" spans="1:1">
      <c r="A205" s="35">
        <v>46240</v>
      </c>
    </row>
    <row r="206" spans="1:1">
      <c r="A206" s="35">
        <v>46241</v>
      </c>
    </row>
    <row r="207" spans="1:1">
      <c r="A207" s="35">
        <v>46242</v>
      </c>
    </row>
    <row r="208" spans="1:1">
      <c r="A208" s="35">
        <v>46243</v>
      </c>
    </row>
    <row r="209" spans="1:1">
      <c r="A209" s="35">
        <v>46244</v>
      </c>
    </row>
    <row r="210" spans="1:1">
      <c r="A210" s="35">
        <v>46245</v>
      </c>
    </row>
    <row r="211" spans="1:1">
      <c r="A211" s="35">
        <v>46246</v>
      </c>
    </row>
    <row r="212" spans="1:1">
      <c r="A212" s="35">
        <v>46247</v>
      </c>
    </row>
    <row r="213" spans="1:1">
      <c r="A213" s="35">
        <v>46248</v>
      </c>
    </row>
    <row r="214" spans="1:1">
      <c r="A214" s="35">
        <v>46249</v>
      </c>
    </row>
    <row r="215" spans="1:1">
      <c r="A215" s="35">
        <v>46250</v>
      </c>
    </row>
    <row r="216" spans="1:1">
      <c r="A216" s="35">
        <v>46251</v>
      </c>
    </row>
    <row r="217" spans="1:1">
      <c r="A217" s="35">
        <v>46252</v>
      </c>
    </row>
    <row r="218" spans="1:1">
      <c r="A218" s="35">
        <v>46253</v>
      </c>
    </row>
    <row r="219" spans="1:1">
      <c r="A219" s="35">
        <v>46254</v>
      </c>
    </row>
    <row r="220" spans="1:1">
      <c r="A220" s="35">
        <v>46255</v>
      </c>
    </row>
    <row r="221" spans="1:1">
      <c r="A221" s="35">
        <v>46256</v>
      </c>
    </row>
    <row r="222" spans="1:1">
      <c r="A222" s="35">
        <v>46257</v>
      </c>
    </row>
    <row r="223" spans="1:1">
      <c r="A223" s="35">
        <v>46258</v>
      </c>
    </row>
    <row r="224" spans="1:1">
      <c r="A224" s="35">
        <v>46259</v>
      </c>
    </row>
    <row r="225" spans="1:1">
      <c r="A225" s="35">
        <v>46260</v>
      </c>
    </row>
    <row r="226" spans="1:1">
      <c r="A226" s="35">
        <v>46261</v>
      </c>
    </row>
    <row r="227" spans="1:1">
      <c r="A227" s="35">
        <v>46262</v>
      </c>
    </row>
    <row r="228" spans="1:1">
      <c r="A228" s="35">
        <v>46263</v>
      </c>
    </row>
    <row r="229" spans="1:1">
      <c r="A229" s="35">
        <v>46264</v>
      </c>
    </row>
    <row r="230" spans="1:1">
      <c r="A230" s="35">
        <v>46265</v>
      </c>
    </row>
    <row r="231" spans="1:1">
      <c r="A231" s="35">
        <v>46266</v>
      </c>
    </row>
    <row r="232" spans="1:1">
      <c r="A232" s="35">
        <v>46267</v>
      </c>
    </row>
    <row r="233" spans="1:1">
      <c r="A233" s="35">
        <v>46268</v>
      </c>
    </row>
    <row r="234" spans="1:1">
      <c r="A234" s="35">
        <v>46269</v>
      </c>
    </row>
    <row r="235" spans="1:1">
      <c r="A235" s="35">
        <v>46270</v>
      </c>
    </row>
    <row r="236" spans="1:1">
      <c r="A236" s="35">
        <v>46271</v>
      </c>
    </row>
    <row r="237" spans="1:1">
      <c r="A237" s="35">
        <v>46272</v>
      </c>
    </row>
    <row r="238" spans="1:1">
      <c r="A238" s="35">
        <v>46273</v>
      </c>
    </row>
    <row r="239" spans="1:1">
      <c r="A239" s="35">
        <v>46274</v>
      </c>
    </row>
    <row r="240" spans="1:1">
      <c r="A240" s="35">
        <v>46275</v>
      </c>
    </row>
    <row r="241" spans="1:1">
      <c r="A241" s="35">
        <v>46276</v>
      </c>
    </row>
    <row r="242" spans="1:1">
      <c r="A242" s="35">
        <v>46277</v>
      </c>
    </row>
    <row r="243" spans="1:1">
      <c r="A243" s="35">
        <v>46278</v>
      </c>
    </row>
    <row r="244" spans="1:1">
      <c r="A244" s="35">
        <v>46279</v>
      </c>
    </row>
    <row r="245" spans="1:1">
      <c r="A245" s="35">
        <v>46280</v>
      </c>
    </row>
    <row r="246" spans="1:1">
      <c r="A246" s="35">
        <v>46281</v>
      </c>
    </row>
    <row r="247" spans="1:1">
      <c r="A247" s="35">
        <v>46282</v>
      </c>
    </row>
    <row r="248" spans="1:1">
      <c r="A248" s="35">
        <v>46283</v>
      </c>
    </row>
    <row r="249" spans="1:1">
      <c r="A249" s="35">
        <v>46284</v>
      </c>
    </row>
    <row r="250" spans="1:1">
      <c r="A250" s="35">
        <v>46285</v>
      </c>
    </row>
    <row r="251" spans="1:1">
      <c r="A251" s="35">
        <v>46286</v>
      </c>
    </row>
    <row r="252" spans="1:1">
      <c r="A252" s="35">
        <v>46287</v>
      </c>
    </row>
    <row r="253" spans="1:1">
      <c r="A253" s="35">
        <v>46288</v>
      </c>
    </row>
    <row r="254" spans="1:1">
      <c r="A254" s="35">
        <v>46289</v>
      </c>
    </row>
    <row r="255" spans="1:1">
      <c r="A255" s="35">
        <v>46290</v>
      </c>
    </row>
    <row r="256" spans="1:1">
      <c r="A256" s="35">
        <v>46291</v>
      </c>
    </row>
    <row r="257" spans="1:1">
      <c r="A257" s="35">
        <v>46292</v>
      </c>
    </row>
    <row r="258" spans="1:1">
      <c r="A258" s="35">
        <v>46293</v>
      </c>
    </row>
    <row r="259" spans="1:1">
      <c r="A259" s="35">
        <v>46294</v>
      </c>
    </row>
    <row r="260" spans="1:1">
      <c r="A260" s="35">
        <v>46295</v>
      </c>
    </row>
    <row r="261" spans="1:1">
      <c r="A261" s="35">
        <v>46296</v>
      </c>
    </row>
    <row r="262" spans="1:1">
      <c r="A262" s="35">
        <v>46297</v>
      </c>
    </row>
    <row r="263" spans="1:1">
      <c r="A263" s="35">
        <v>46298</v>
      </c>
    </row>
    <row r="264" spans="1:1">
      <c r="A264" s="35">
        <v>46299</v>
      </c>
    </row>
    <row r="265" spans="1:1">
      <c r="A265" s="35">
        <v>46300</v>
      </c>
    </row>
    <row r="266" spans="1:1">
      <c r="A266" s="35">
        <v>46301</v>
      </c>
    </row>
    <row r="267" spans="1:1">
      <c r="A267" s="35">
        <v>46302</v>
      </c>
    </row>
    <row r="268" spans="1:1">
      <c r="A268" s="35">
        <v>46303</v>
      </c>
    </row>
    <row r="269" spans="1:1">
      <c r="A269" s="35">
        <v>46304</v>
      </c>
    </row>
    <row r="270" spans="1:1">
      <c r="A270" s="35">
        <v>46305</v>
      </c>
    </row>
    <row r="271" spans="1:1">
      <c r="A271" s="35">
        <v>46306</v>
      </c>
    </row>
    <row r="272" spans="1:1">
      <c r="A272" s="35">
        <v>46307</v>
      </c>
    </row>
    <row r="273" spans="1:1">
      <c r="A273" s="35">
        <v>46308</v>
      </c>
    </row>
    <row r="274" spans="1:1">
      <c r="A274" s="35">
        <v>46309</v>
      </c>
    </row>
    <row r="275" spans="1:1">
      <c r="A275" s="35">
        <v>46310</v>
      </c>
    </row>
    <row r="276" spans="1:1">
      <c r="A276" s="35">
        <v>46311</v>
      </c>
    </row>
    <row r="277" spans="1:1">
      <c r="A277" s="35">
        <v>46312</v>
      </c>
    </row>
    <row r="278" spans="1:1">
      <c r="A278" s="35">
        <v>46313</v>
      </c>
    </row>
    <row r="279" spans="1:1">
      <c r="A279" s="35">
        <v>46314</v>
      </c>
    </row>
    <row r="280" spans="1:1">
      <c r="A280" s="35">
        <v>46315</v>
      </c>
    </row>
    <row r="281" spans="1:1">
      <c r="A281" s="35">
        <v>46316</v>
      </c>
    </row>
    <row r="282" spans="1:1">
      <c r="A282" s="35">
        <v>46317</v>
      </c>
    </row>
    <row r="283" spans="1:1">
      <c r="A283" s="35">
        <v>46318</v>
      </c>
    </row>
    <row r="284" spans="1:1">
      <c r="A284" s="35">
        <v>46319</v>
      </c>
    </row>
    <row r="285" spans="1:1">
      <c r="A285" s="35">
        <v>46320</v>
      </c>
    </row>
    <row r="286" spans="1:1">
      <c r="A286" s="35">
        <v>46321</v>
      </c>
    </row>
    <row r="287" spans="1:1">
      <c r="A287" s="35">
        <v>46322</v>
      </c>
    </row>
    <row r="288" spans="1:1">
      <c r="A288" s="35">
        <v>46323</v>
      </c>
    </row>
    <row r="289" spans="1:1">
      <c r="A289" s="35">
        <v>46324</v>
      </c>
    </row>
    <row r="290" spans="1:1">
      <c r="A290" s="35">
        <v>46325</v>
      </c>
    </row>
    <row r="291" spans="1:1">
      <c r="A291" s="35">
        <v>46326</v>
      </c>
    </row>
    <row r="292" spans="1:1">
      <c r="A292" s="35">
        <v>46327</v>
      </c>
    </row>
    <row r="293" spans="1:1">
      <c r="A293" s="35">
        <v>46328</v>
      </c>
    </row>
    <row r="294" spans="1:1">
      <c r="A294" s="35">
        <v>46329</v>
      </c>
    </row>
    <row r="295" spans="1:1">
      <c r="A295" s="35">
        <v>46330</v>
      </c>
    </row>
    <row r="296" spans="1:1">
      <c r="A296" s="35">
        <v>46331</v>
      </c>
    </row>
    <row r="297" spans="1:1">
      <c r="A297" s="35">
        <v>46332</v>
      </c>
    </row>
    <row r="298" spans="1:1">
      <c r="A298" s="35">
        <v>46333</v>
      </c>
    </row>
    <row r="299" spans="1:1">
      <c r="A299" s="35">
        <v>46334</v>
      </c>
    </row>
    <row r="300" spans="1:1">
      <c r="A300" s="35">
        <v>46335</v>
      </c>
    </row>
    <row r="301" spans="1:1">
      <c r="A301" s="35">
        <v>46336</v>
      </c>
    </row>
    <row r="302" spans="1:1">
      <c r="A302" s="35">
        <v>46337</v>
      </c>
    </row>
    <row r="303" spans="1:1">
      <c r="A303" s="35">
        <v>46338</v>
      </c>
    </row>
    <row r="304" spans="1:1">
      <c r="A304" s="35">
        <v>46339</v>
      </c>
    </row>
    <row r="305" spans="1:1">
      <c r="A305" s="35">
        <v>46340</v>
      </c>
    </row>
    <row r="306" spans="1:1">
      <c r="A306" s="35">
        <v>46341</v>
      </c>
    </row>
    <row r="307" spans="1:1">
      <c r="A307" s="35">
        <v>46342</v>
      </c>
    </row>
    <row r="308" spans="1:1">
      <c r="A308" s="35">
        <v>46343</v>
      </c>
    </row>
    <row r="309" spans="1:1">
      <c r="A309" s="35">
        <v>46344</v>
      </c>
    </row>
    <row r="310" spans="1:1">
      <c r="A310" s="35">
        <v>46345</v>
      </c>
    </row>
    <row r="311" spans="1:1">
      <c r="A311" s="35">
        <v>46346</v>
      </c>
    </row>
    <row r="312" spans="1:1">
      <c r="A312" s="35">
        <v>46347</v>
      </c>
    </row>
    <row r="313" spans="1:1">
      <c r="A313" s="35">
        <v>46348</v>
      </c>
    </row>
    <row r="314" spans="1:1">
      <c r="A314" s="35">
        <v>46349</v>
      </c>
    </row>
    <row r="315" spans="1:1">
      <c r="A315" s="35">
        <v>46350</v>
      </c>
    </row>
    <row r="316" spans="1:1">
      <c r="A316" s="35">
        <v>46351</v>
      </c>
    </row>
    <row r="317" spans="1:1">
      <c r="A317" s="35">
        <v>46352</v>
      </c>
    </row>
    <row r="318" spans="1:1">
      <c r="A318" s="35">
        <v>46353</v>
      </c>
    </row>
    <row r="319" spans="1:1">
      <c r="A319" s="35">
        <v>46354</v>
      </c>
    </row>
    <row r="320" spans="1:1">
      <c r="A320" s="35">
        <v>46355</v>
      </c>
    </row>
    <row r="321" spans="1:1">
      <c r="A321" s="35">
        <v>46356</v>
      </c>
    </row>
    <row r="322" spans="1:1">
      <c r="A322" s="35">
        <v>46357</v>
      </c>
    </row>
    <row r="323" spans="1:1">
      <c r="A323" s="35">
        <v>46358</v>
      </c>
    </row>
    <row r="324" spans="1:1">
      <c r="A324" s="35">
        <v>46359</v>
      </c>
    </row>
    <row r="325" spans="1:1">
      <c r="A325" s="35">
        <v>46360</v>
      </c>
    </row>
    <row r="326" spans="1:1">
      <c r="A326" s="35">
        <v>46361</v>
      </c>
    </row>
    <row r="327" spans="1:1">
      <c r="A327" s="35">
        <v>46362</v>
      </c>
    </row>
    <row r="328" spans="1:1">
      <c r="A328" s="35">
        <v>46363</v>
      </c>
    </row>
    <row r="329" spans="1:1">
      <c r="A329" s="35">
        <v>46364</v>
      </c>
    </row>
    <row r="330" spans="1:1">
      <c r="A330" s="35">
        <v>46365</v>
      </c>
    </row>
    <row r="331" spans="1:1">
      <c r="A331" s="35">
        <v>46366</v>
      </c>
    </row>
    <row r="332" spans="1:1">
      <c r="A332" s="35">
        <v>46367</v>
      </c>
    </row>
    <row r="333" spans="1:1">
      <c r="A333" s="35">
        <v>46368</v>
      </c>
    </row>
    <row r="334" spans="1:1">
      <c r="A334" s="35">
        <v>46369</v>
      </c>
    </row>
    <row r="335" spans="1:1">
      <c r="A335" s="35">
        <v>46370</v>
      </c>
    </row>
    <row r="336" spans="1:1">
      <c r="A336" s="35">
        <v>46371</v>
      </c>
    </row>
    <row r="337" spans="1:1">
      <c r="A337" s="35">
        <v>46372</v>
      </c>
    </row>
    <row r="338" spans="1:1">
      <c r="A338" s="35">
        <v>46373</v>
      </c>
    </row>
    <row r="339" spans="1:1">
      <c r="A339" s="35">
        <v>46374</v>
      </c>
    </row>
    <row r="340" spans="1:1">
      <c r="A340" s="35">
        <v>46375</v>
      </c>
    </row>
    <row r="341" spans="1:1">
      <c r="A341" s="35">
        <v>46376</v>
      </c>
    </row>
    <row r="342" spans="1:1">
      <c r="A342" s="35">
        <v>46377</v>
      </c>
    </row>
    <row r="343" spans="1:1">
      <c r="A343" s="35">
        <v>46378</v>
      </c>
    </row>
    <row r="344" spans="1:1">
      <c r="A344" s="35">
        <v>46379</v>
      </c>
    </row>
    <row r="345" spans="1:1">
      <c r="A345" s="35">
        <v>46380</v>
      </c>
    </row>
    <row r="346" spans="1:1">
      <c r="A346" s="35">
        <v>46381</v>
      </c>
    </row>
    <row r="347" spans="1:1">
      <c r="A347" s="35">
        <v>46382</v>
      </c>
    </row>
    <row r="348" spans="1:1">
      <c r="A348" s="35">
        <v>46383</v>
      </c>
    </row>
    <row r="349" spans="1:1">
      <c r="A349" s="35">
        <v>46384</v>
      </c>
    </row>
    <row r="350" spans="1:1">
      <c r="A350" s="35">
        <v>46385</v>
      </c>
    </row>
    <row r="351" spans="1:1">
      <c r="A351" s="35">
        <v>46386</v>
      </c>
    </row>
    <row r="352" spans="1:1">
      <c r="A352" s="35">
        <v>46387</v>
      </c>
    </row>
    <row r="353" spans="3:3">
      <c r="C353">
        <f>SUM(C2:C352)</f>
        <v>108020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73"/>
  <sheetViews>
    <sheetView workbookViewId="0">
      <pane ySplit="1" topLeftCell="A140" activePane="bottomLeft" state="frozen"/>
      <selection pane="bottomLeft" activeCell="D128" sqref="D128"/>
    </sheetView>
  </sheetViews>
  <sheetFormatPr baseColWidth="10" defaultColWidth="9.109375" defaultRowHeight="14.4"/>
  <cols>
    <col min="1" max="1" width="15.6640625" customWidth="1"/>
    <col min="2" max="3" width="15.6640625" style="99" customWidth="1"/>
    <col min="4" max="26" width="15.6640625" customWidth="1"/>
    <col min="27" max="27" width="12.88671875"/>
  </cols>
  <sheetData>
    <row r="1" spans="1:27" ht="30" customHeight="1">
      <c r="A1" s="34" t="s">
        <v>267</v>
      </c>
      <c r="B1" s="34" t="s">
        <v>447</v>
      </c>
      <c r="C1" s="34" t="s">
        <v>328</v>
      </c>
      <c r="D1" s="34" t="s">
        <v>268</v>
      </c>
      <c r="E1" s="34" t="s">
        <v>295</v>
      </c>
      <c r="F1" s="34" t="s">
        <v>329</v>
      </c>
      <c r="G1" s="34" t="s">
        <v>330</v>
      </c>
      <c r="H1" s="34" t="s">
        <v>331</v>
      </c>
      <c r="I1" s="34" t="s">
        <v>332</v>
      </c>
      <c r="J1" s="34">
        <v>2</v>
      </c>
      <c r="K1" s="34">
        <v>3</v>
      </c>
      <c r="L1" s="34">
        <v>4</v>
      </c>
      <c r="M1" s="34">
        <v>5</v>
      </c>
      <c r="N1" s="34">
        <v>6</v>
      </c>
      <c r="O1" s="34">
        <v>7</v>
      </c>
      <c r="P1" s="34">
        <v>8</v>
      </c>
      <c r="Q1" s="34">
        <v>9</v>
      </c>
      <c r="R1" s="34">
        <v>10</v>
      </c>
      <c r="S1" s="34">
        <v>11</v>
      </c>
      <c r="T1" s="34">
        <v>12</v>
      </c>
      <c r="U1" s="34">
        <v>13</v>
      </c>
      <c r="V1" s="34">
        <v>14</v>
      </c>
      <c r="W1" s="34">
        <v>15</v>
      </c>
      <c r="X1" s="34">
        <v>16</v>
      </c>
      <c r="Y1" s="34">
        <v>17</v>
      </c>
      <c r="Z1" s="34" t="s">
        <v>333</v>
      </c>
      <c r="AA1" s="34" t="s">
        <v>334</v>
      </c>
    </row>
    <row r="2" spans="1:27" s="143" customFormat="1">
      <c r="A2" s="140">
        <v>46002</v>
      </c>
      <c r="B2" s="199">
        <v>1</v>
      </c>
      <c r="C2" s="141">
        <v>97.85</v>
      </c>
      <c r="D2" s="142" t="s">
        <v>335</v>
      </c>
      <c r="E2" s="142">
        <v>5.51</v>
      </c>
      <c r="F2" s="142">
        <v>950</v>
      </c>
      <c r="G2" s="142">
        <v>4.9800000000000004</v>
      </c>
      <c r="H2" s="142"/>
      <c r="I2" s="142">
        <v>6.25</v>
      </c>
      <c r="J2" s="142">
        <v>5.3</v>
      </c>
      <c r="K2" s="142">
        <v>5.75</v>
      </c>
      <c r="L2" s="142">
        <v>6.55</v>
      </c>
      <c r="M2" s="142">
        <v>6.1</v>
      </c>
      <c r="N2" s="142">
        <v>5.95</v>
      </c>
      <c r="O2" s="142">
        <v>5.9</v>
      </c>
      <c r="P2" s="142">
        <v>5.05</v>
      </c>
      <c r="Q2" s="142">
        <v>6.65</v>
      </c>
      <c r="R2" s="142">
        <v>6.55</v>
      </c>
      <c r="S2" s="142">
        <v>6.2</v>
      </c>
      <c r="T2" s="142">
        <v>4.9000000000000004</v>
      </c>
      <c r="U2" s="142">
        <v>6.9</v>
      </c>
      <c r="V2" s="142">
        <v>6.45</v>
      </c>
      <c r="W2" s="142"/>
      <c r="X2" s="142"/>
      <c r="Y2" s="142"/>
      <c r="Z2" s="142">
        <f t="shared" ref="Z2:Z65" si="0">SUM(I2:Y2)</f>
        <v>84.500000000000014</v>
      </c>
      <c r="AA2" s="142">
        <f t="shared" ref="AA2:AA37" si="1">(Z2/C2)*100</f>
        <v>86.356668369954022</v>
      </c>
    </row>
    <row r="3" spans="1:27" s="143" customFormat="1">
      <c r="A3" s="140">
        <v>46002</v>
      </c>
      <c r="B3" s="199">
        <v>2</v>
      </c>
      <c r="C3" s="141">
        <v>101.75</v>
      </c>
      <c r="D3" s="142" t="s">
        <v>335</v>
      </c>
      <c r="E3" s="142">
        <v>6.5</v>
      </c>
      <c r="F3" s="142">
        <v>1000</v>
      </c>
      <c r="G3" s="142">
        <v>5</v>
      </c>
      <c r="H3" s="142"/>
      <c r="I3" s="142">
        <v>3.4</v>
      </c>
      <c r="J3" s="142">
        <v>6.4</v>
      </c>
      <c r="K3" s="142">
        <v>7.65</v>
      </c>
      <c r="L3" s="142">
        <v>6.15</v>
      </c>
      <c r="M3" s="142">
        <v>8.15</v>
      </c>
      <c r="N3" s="142">
        <v>7.25</v>
      </c>
      <c r="O3" s="142">
        <v>6</v>
      </c>
      <c r="P3" s="142">
        <v>6.3</v>
      </c>
      <c r="Q3" s="142">
        <v>6.8</v>
      </c>
      <c r="R3" s="142">
        <v>7</v>
      </c>
      <c r="S3" s="142">
        <v>8.0500000000000007</v>
      </c>
      <c r="T3" s="142">
        <v>6.9</v>
      </c>
      <c r="U3" s="142">
        <v>4.75</v>
      </c>
      <c r="V3" s="142"/>
      <c r="W3" s="142"/>
      <c r="X3" s="142"/>
      <c r="Y3" s="142"/>
      <c r="Z3" s="142">
        <f t="shared" si="0"/>
        <v>84.8</v>
      </c>
      <c r="AA3" s="142">
        <f t="shared" si="1"/>
        <v>83.341523341523342</v>
      </c>
    </row>
    <row r="4" spans="1:27" s="143" customFormat="1">
      <c r="A4" s="140">
        <v>46002</v>
      </c>
      <c r="B4" s="199">
        <v>3</v>
      </c>
      <c r="C4" s="141">
        <v>111.1</v>
      </c>
      <c r="D4" s="142" t="s">
        <v>335</v>
      </c>
      <c r="E4" s="142">
        <v>5.39</v>
      </c>
      <c r="F4" s="142">
        <v>1111.5</v>
      </c>
      <c r="G4" s="142">
        <v>5.03</v>
      </c>
      <c r="H4" s="142">
        <v>30</v>
      </c>
      <c r="I4" s="142">
        <v>7.45</v>
      </c>
      <c r="J4" s="142">
        <v>7.85</v>
      </c>
      <c r="K4" s="142">
        <v>7.95</v>
      </c>
      <c r="L4" s="142">
        <v>7</v>
      </c>
      <c r="M4" s="142">
        <v>7.95</v>
      </c>
      <c r="N4" s="142">
        <v>7.9</v>
      </c>
      <c r="O4" s="142">
        <v>7.85</v>
      </c>
      <c r="P4" s="142">
        <v>6.05</v>
      </c>
      <c r="Q4" s="142">
        <v>7.65</v>
      </c>
      <c r="R4" s="142">
        <v>7.25</v>
      </c>
      <c r="S4" s="142">
        <v>6.15</v>
      </c>
      <c r="T4" s="142"/>
      <c r="U4" s="142"/>
      <c r="V4" s="142"/>
      <c r="W4" s="142"/>
      <c r="X4" s="142"/>
      <c r="Y4" s="142"/>
      <c r="Z4" s="142">
        <f t="shared" si="0"/>
        <v>81.050000000000011</v>
      </c>
      <c r="AA4" s="142">
        <f t="shared" si="1"/>
        <v>72.952295229522974</v>
      </c>
    </row>
    <row r="5" spans="1:27">
      <c r="A5" s="35">
        <v>46003</v>
      </c>
      <c r="B5" s="200">
        <v>4</v>
      </c>
      <c r="C5" s="37">
        <v>96.55</v>
      </c>
      <c r="D5" s="7" t="s">
        <v>336</v>
      </c>
      <c r="E5" s="7">
        <v>5.44</v>
      </c>
      <c r="F5" s="7">
        <v>1000</v>
      </c>
      <c r="G5" s="7"/>
      <c r="H5" s="7">
        <v>30</v>
      </c>
      <c r="I5" s="7">
        <v>5.9</v>
      </c>
      <c r="J5" s="7">
        <v>6.4</v>
      </c>
      <c r="K5" s="7">
        <v>6.25</v>
      </c>
      <c r="L5" s="7">
        <v>6.35</v>
      </c>
      <c r="M5" s="7">
        <v>5.15</v>
      </c>
      <c r="N5" s="7">
        <v>6.3</v>
      </c>
      <c r="O5" s="7">
        <v>6.3</v>
      </c>
      <c r="P5" s="7">
        <v>4.8499999999999996</v>
      </c>
      <c r="Q5" s="7">
        <v>5.8</v>
      </c>
      <c r="R5" s="7">
        <v>5.85</v>
      </c>
      <c r="S5" s="7">
        <v>3.1</v>
      </c>
      <c r="T5" s="7">
        <v>5.65</v>
      </c>
      <c r="U5" s="7">
        <v>6.65</v>
      </c>
      <c r="V5" s="7"/>
      <c r="W5" s="7"/>
      <c r="X5" s="7"/>
      <c r="Y5" s="7"/>
      <c r="Z5" s="7">
        <f t="shared" si="0"/>
        <v>74.55</v>
      </c>
      <c r="AA5" s="7">
        <f t="shared" si="1"/>
        <v>77.213878819264622</v>
      </c>
    </row>
    <row r="6" spans="1:27" s="147" customFormat="1">
      <c r="A6" s="144">
        <v>46004</v>
      </c>
      <c r="B6" s="201">
        <v>5</v>
      </c>
      <c r="C6" s="145">
        <v>92.05</v>
      </c>
      <c r="D6" s="146">
        <v>101225</v>
      </c>
      <c r="E6" s="146"/>
      <c r="F6" s="146">
        <v>1000</v>
      </c>
      <c r="G6" s="146"/>
      <c r="H6" s="146">
        <v>30</v>
      </c>
      <c r="I6" s="146">
        <v>7.85</v>
      </c>
      <c r="J6" s="146">
        <v>7.1</v>
      </c>
      <c r="K6" s="146">
        <v>6.45</v>
      </c>
      <c r="L6" s="146">
        <v>7.25</v>
      </c>
      <c r="M6" s="146">
        <v>7.1</v>
      </c>
      <c r="N6" s="146">
        <v>6.85</v>
      </c>
      <c r="O6" s="146">
        <v>6.6</v>
      </c>
      <c r="P6" s="146">
        <v>5.95</v>
      </c>
      <c r="Q6" s="146">
        <v>6.75</v>
      </c>
      <c r="R6" s="146">
        <v>6.35</v>
      </c>
      <c r="S6" s="146">
        <v>6.35</v>
      </c>
      <c r="T6" s="146"/>
      <c r="U6" s="146"/>
      <c r="V6" s="146"/>
      <c r="W6" s="146"/>
      <c r="X6" s="146"/>
      <c r="Y6" s="146"/>
      <c r="Z6" s="146">
        <f t="shared" si="0"/>
        <v>74.599999999999994</v>
      </c>
      <c r="AA6" s="146">
        <f t="shared" si="1"/>
        <v>81.042911461162404</v>
      </c>
    </row>
    <row r="7" spans="1:27" s="147" customFormat="1">
      <c r="A7" s="144">
        <v>46004</v>
      </c>
      <c r="B7" s="201">
        <v>6</v>
      </c>
      <c r="C7" s="145">
        <v>98.4</v>
      </c>
      <c r="D7" s="146"/>
      <c r="E7" s="146"/>
      <c r="F7" s="146"/>
      <c r="G7" s="146"/>
      <c r="H7" s="146">
        <v>30</v>
      </c>
      <c r="I7" s="146">
        <v>8.65</v>
      </c>
      <c r="J7" s="146">
        <v>8.6</v>
      </c>
      <c r="K7" s="146">
        <v>8.5500000000000007</v>
      </c>
      <c r="L7" s="146">
        <v>9.4499999999999993</v>
      </c>
      <c r="M7" s="146">
        <v>8.3000000000000007</v>
      </c>
      <c r="N7" s="146">
        <v>8.8000000000000007</v>
      </c>
      <c r="O7" s="146">
        <v>9.1</v>
      </c>
      <c r="P7" s="146">
        <v>8.9</v>
      </c>
      <c r="Q7" s="146">
        <v>8.25</v>
      </c>
      <c r="R7" s="146">
        <v>9.35</v>
      </c>
      <c r="S7" s="146">
        <v>9.25</v>
      </c>
      <c r="T7" s="146">
        <v>5.6</v>
      </c>
      <c r="U7" s="146"/>
      <c r="V7" s="146"/>
      <c r="W7" s="146"/>
      <c r="X7" s="146"/>
      <c r="Y7" s="146"/>
      <c r="Z7" s="146">
        <f t="shared" si="0"/>
        <v>102.79999999999998</v>
      </c>
      <c r="AA7" s="146">
        <f t="shared" si="1"/>
        <v>104.47154471544712</v>
      </c>
    </row>
    <row r="8" spans="1:27" s="147" customFormat="1">
      <c r="A8" s="144">
        <v>46006</v>
      </c>
      <c r="B8" s="201">
        <v>7</v>
      </c>
      <c r="C8" s="145">
        <v>104</v>
      </c>
      <c r="D8" s="146" t="s">
        <v>337</v>
      </c>
      <c r="E8" s="146">
        <v>6.09</v>
      </c>
      <c r="F8" s="146">
        <v>1040</v>
      </c>
      <c r="G8" s="146"/>
      <c r="H8" s="146">
        <v>30</v>
      </c>
      <c r="I8" s="146">
        <v>6.5</v>
      </c>
      <c r="J8" s="146">
        <v>6.85</v>
      </c>
      <c r="K8" s="146">
        <v>7.35</v>
      </c>
      <c r="L8" s="146">
        <v>7.85</v>
      </c>
      <c r="M8" s="146">
        <v>7.85</v>
      </c>
      <c r="N8" s="146">
        <v>8.15</v>
      </c>
      <c r="O8" s="146">
        <v>7.5</v>
      </c>
      <c r="P8" s="146">
        <v>7.55</v>
      </c>
      <c r="Q8" s="146">
        <v>6.85</v>
      </c>
      <c r="R8" s="146">
        <v>6.95</v>
      </c>
      <c r="S8" s="146">
        <v>7.2</v>
      </c>
      <c r="T8" s="146">
        <v>6.7</v>
      </c>
      <c r="U8" s="146">
        <v>8.1999999999999993</v>
      </c>
      <c r="V8" s="146"/>
      <c r="W8" s="146"/>
      <c r="X8" s="146"/>
      <c r="Y8" s="146"/>
      <c r="Z8" s="146">
        <f t="shared" si="0"/>
        <v>95.5</v>
      </c>
      <c r="AA8" s="146">
        <f t="shared" si="1"/>
        <v>91.826923076923066</v>
      </c>
    </row>
    <row r="9" spans="1:27" s="147" customFormat="1">
      <c r="A9" s="144">
        <v>46006</v>
      </c>
      <c r="B9" s="201">
        <v>8</v>
      </c>
      <c r="C9" s="145">
        <f>69.6+36.15</f>
        <v>105.75</v>
      </c>
      <c r="D9" s="146" t="s">
        <v>337</v>
      </c>
      <c r="E9" s="146">
        <v>5.81</v>
      </c>
      <c r="F9" s="146">
        <v>1101.5</v>
      </c>
      <c r="G9" s="146"/>
      <c r="H9" s="146">
        <v>30</v>
      </c>
      <c r="I9" s="146">
        <v>7.2</v>
      </c>
      <c r="J9" s="146">
        <v>6</v>
      </c>
      <c r="K9" s="146">
        <v>7.55</v>
      </c>
      <c r="L9" s="146">
        <v>6.55</v>
      </c>
      <c r="M9" s="146">
        <v>7.4</v>
      </c>
      <c r="N9" s="146">
        <v>5.4</v>
      </c>
      <c r="O9" s="146">
        <v>5.35</v>
      </c>
      <c r="P9" s="146">
        <v>7.6</v>
      </c>
      <c r="Q9" s="146">
        <v>7.35</v>
      </c>
      <c r="R9" s="146">
        <v>5.35</v>
      </c>
      <c r="S9" s="146">
        <v>6.05</v>
      </c>
      <c r="T9" s="146">
        <v>8</v>
      </c>
      <c r="U9" s="146">
        <v>7.75</v>
      </c>
      <c r="V9" s="146"/>
      <c r="W9" s="146"/>
      <c r="X9" s="146"/>
      <c r="Y9" s="146"/>
      <c r="Z9" s="146">
        <f t="shared" si="0"/>
        <v>87.55</v>
      </c>
      <c r="AA9" s="146">
        <f t="shared" si="1"/>
        <v>82.789598108747043</v>
      </c>
    </row>
    <row r="10" spans="1:27" s="147" customFormat="1">
      <c r="A10" s="144">
        <v>46006</v>
      </c>
      <c r="B10" s="201">
        <v>9</v>
      </c>
      <c r="C10" s="145">
        <f>39+73.6</f>
        <v>112.6</v>
      </c>
      <c r="D10" s="146" t="s">
        <v>338</v>
      </c>
      <c r="E10" s="146"/>
      <c r="F10" s="146">
        <v>1101</v>
      </c>
      <c r="G10" s="146"/>
      <c r="H10" s="146">
        <v>30</v>
      </c>
      <c r="I10" s="146">
        <v>5.8</v>
      </c>
      <c r="J10" s="146">
        <v>5.95</v>
      </c>
      <c r="K10" s="146">
        <v>5.7</v>
      </c>
      <c r="L10" s="146">
        <v>6.35</v>
      </c>
      <c r="M10" s="146">
        <v>6.35</v>
      </c>
      <c r="N10" s="146">
        <v>5.7</v>
      </c>
      <c r="O10" s="146">
        <v>6.2</v>
      </c>
      <c r="P10" s="146">
        <v>6.8</v>
      </c>
      <c r="Q10" s="146">
        <v>6</v>
      </c>
      <c r="R10" s="146">
        <v>7.35</v>
      </c>
      <c r="S10" s="146">
        <v>6.05</v>
      </c>
      <c r="T10" s="146">
        <v>6.15</v>
      </c>
      <c r="U10" s="146">
        <v>5.45</v>
      </c>
      <c r="V10" s="146">
        <v>6.1</v>
      </c>
      <c r="W10" s="146">
        <v>7.25</v>
      </c>
      <c r="X10" s="146"/>
      <c r="Y10" s="146"/>
      <c r="Z10" s="146">
        <f t="shared" si="0"/>
        <v>93.2</v>
      </c>
      <c r="AA10" s="146">
        <f t="shared" si="1"/>
        <v>82.770870337477803</v>
      </c>
    </row>
    <row r="11" spans="1:27" s="151" customFormat="1">
      <c r="A11" s="148">
        <v>46006</v>
      </c>
      <c r="B11" s="202">
        <v>10</v>
      </c>
      <c r="C11" s="149">
        <f>46.9+78.95</f>
        <v>125.85</v>
      </c>
      <c r="D11" s="150">
        <v>121225</v>
      </c>
      <c r="E11" s="150"/>
      <c r="F11" s="150"/>
      <c r="G11" s="150"/>
      <c r="H11" s="150">
        <v>30</v>
      </c>
      <c r="I11" s="150">
        <v>7.45</v>
      </c>
      <c r="J11" s="150">
        <v>8.1</v>
      </c>
      <c r="K11" s="150">
        <v>6.05</v>
      </c>
      <c r="L11" s="150">
        <v>7.25</v>
      </c>
      <c r="M11" s="150">
        <v>7.4</v>
      </c>
      <c r="N11" s="150">
        <v>5.8</v>
      </c>
      <c r="O11" s="150">
        <v>5.8</v>
      </c>
      <c r="P11" s="150">
        <v>6.1</v>
      </c>
      <c r="Q11" s="150">
        <v>7.05</v>
      </c>
      <c r="R11" s="150">
        <v>6.2</v>
      </c>
      <c r="S11" s="150">
        <v>5.2</v>
      </c>
      <c r="T11" s="150">
        <v>5</v>
      </c>
      <c r="U11" s="150">
        <v>6.3</v>
      </c>
      <c r="V11" s="150">
        <v>6.6</v>
      </c>
      <c r="W11" s="150">
        <v>6.15</v>
      </c>
      <c r="X11" s="150">
        <v>7.95</v>
      </c>
      <c r="Y11" s="150"/>
      <c r="Z11" s="150">
        <f t="shared" si="0"/>
        <v>104.39999999999999</v>
      </c>
      <c r="AA11" s="150">
        <f t="shared" si="1"/>
        <v>82.955899880810492</v>
      </c>
    </row>
    <row r="12" spans="1:27" s="151" customFormat="1">
      <c r="A12" s="148">
        <v>46007</v>
      </c>
      <c r="B12" s="202">
        <v>11</v>
      </c>
      <c r="C12" s="149">
        <f>32.35+66.45</f>
        <v>98.800000000000011</v>
      </c>
      <c r="D12" s="150">
        <v>121225</v>
      </c>
      <c r="E12" s="150">
        <v>5.34</v>
      </c>
      <c r="F12" s="150">
        <v>1008</v>
      </c>
      <c r="G12" s="150"/>
      <c r="H12" s="150">
        <v>30</v>
      </c>
      <c r="I12" s="150">
        <v>5.55</v>
      </c>
      <c r="J12" s="150">
        <v>5.5</v>
      </c>
      <c r="K12" s="150">
        <v>5.85</v>
      </c>
      <c r="L12" s="150">
        <v>6.2</v>
      </c>
      <c r="M12" s="150">
        <v>5.0999999999999996</v>
      </c>
      <c r="N12" s="150">
        <v>6.7</v>
      </c>
      <c r="O12" s="150">
        <v>5.85</v>
      </c>
      <c r="P12" s="150">
        <v>5.9</v>
      </c>
      <c r="Q12" s="150">
        <v>6.2</v>
      </c>
      <c r="R12" s="150">
        <v>5.4</v>
      </c>
      <c r="S12" s="150">
        <v>8.8000000000000007</v>
      </c>
      <c r="T12" s="150">
        <v>5.55</v>
      </c>
      <c r="U12" s="150">
        <v>5.85</v>
      </c>
      <c r="V12" s="150">
        <v>6.15</v>
      </c>
      <c r="W12" s="150"/>
      <c r="X12" s="150"/>
      <c r="Y12" s="150"/>
      <c r="Z12" s="150">
        <f t="shared" si="0"/>
        <v>84.6</v>
      </c>
      <c r="AA12" s="150">
        <f t="shared" si="1"/>
        <v>85.627530364372447</v>
      </c>
    </row>
    <row r="13" spans="1:27" s="151" customFormat="1">
      <c r="A13" s="148">
        <v>46007</v>
      </c>
      <c r="B13" s="202">
        <v>0</v>
      </c>
      <c r="C13" s="149">
        <f>29.75+75.4</f>
        <v>105.15</v>
      </c>
      <c r="D13" s="150" t="s">
        <v>339</v>
      </c>
      <c r="E13" s="150">
        <v>6.34</v>
      </c>
      <c r="F13" s="150">
        <v>1100</v>
      </c>
      <c r="G13" s="150"/>
      <c r="H13" s="150">
        <v>30</v>
      </c>
      <c r="I13" s="150">
        <v>7.7</v>
      </c>
      <c r="J13" s="150">
        <v>6.55</v>
      </c>
      <c r="K13" s="150">
        <v>6.2</v>
      </c>
      <c r="L13" s="150">
        <v>6.8</v>
      </c>
      <c r="M13" s="150">
        <v>5.55</v>
      </c>
      <c r="N13" s="150">
        <v>6</v>
      </c>
      <c r="O13" s="150">
        <v>7.45</v>
      </c>
      <c r="P13" s="150">
        <v>6.15</v>
      </c>
      <c r="Q13" s="150">
        <v>6</v>
      </c>
      <c r="R13" s="150">
        <v>5.95</v>
      </c>
      <c r="S13" s="150">
        <v>5.8</v>
      </c>
      <c r="T13" s="150">
        <v>5.5</v>
      </c>
      <c r="U13" s="150">
        <v>6.1</v>
      </c>
      <c r="V13" s="150">
        <v>6.4</v>
      </c>
      <c r="W13" s="150"/>
      <c r="X13" s="150"/>
      <c r="Y13" s="150"/>
      <c r="Z13" s="150">
        <f t="shared" si="0"/>
        <v>88.149999999999991</v>
      </c>
      <c r="AA13" s="150">
        <f t="shared" si="1"/>
        <v>83.83262006657155</v>
      </c>
    </row>
    <row r="14" spans="1:27">
      <c r="A14" s="35">
        <v>46007</v>
      </c>
      <c r="B14" s="200">
        <v>1</v>
      </c>
      <c r="C14" s="37">
        <v>98.2</v>
      </c>
      <c r="D14" s="7">
        <v>111225</v>
      </c>
      <c r="E14" s="7">
        <v>6.58</v>
      </c>
      <c r="F14" s="7">
        <v>1100</v>
      </c>
      <c r="G14" s="7"/>
      <c r="H14" s="7">
        <v>30</v>
      </c>
      <c r="I14" s="7">
        <v>3.35</v>
      </c>
      <c r="J14" s="7">
        <v>6</v>
      </c>
      <c r="K14" s="7">
        <v>6.2</v>
      </c>
      <c r="L14" s="7">
        <v>5.55</v>
      </c>
      <c r="M14" s="7">
        <v>6.45</v>
      </c>
      <c r="N14" s="7">
        <v>5.4</v>
      </c>
      <c r="O14" s="7">
        <v>5.8</v>
      </c>
      <c r="P14" s="7">
        <v>6.05</v>
      </c>
      <c r="Q14" s="7">
        <v>5.4</v>
      </c>
      <c r="R14" s="7">
        <v>6.5</v>
      </c>
      <c r="S14" s="7">
        <v>6.4</v>
      </c>
      <c r="T14" s="7">
        <v>7</v>
      </c>
      <c r="U14" s="7">
        <v>6.2</v>
      </c>
      <c r="V14" s="7"/>
      <c r="W14" s="7"/>
      <c r="X14" s="7"/>
      <c r="Y14" s="7"/>
      <c r="Z14" s="7">
        <f t="shared" si="0"/>
        <v>76.3</v>
      </c>
      <c r="AA14" s="7">
        <f t="shared" si="1"/>
        <v>77.698574338085535</v>
      </c>
    </row>
    <row r="15" spans="1:27">
      <c r="A15" s="35">
        <v>46007</v>
      </c>
      <c r="B15" s="200">
        <v>2</v>
      </c>
      <c r="C15" s="37">
        <v>103.4</v>
      </c>
      <c r="D15" s="7">
        <v>111225</v>
      </c>
      <c r="E15" s="7">
        <v>5.58</v>
      </c>
      <c r="F15" s="7">
        <v>1100</v>
      </c>
      <c r="G15" s="7"/>
      <c r="H15" s="7">
        <v>30</v>
      </c>
      <c r="I15" s="7">
        <v>6.7</v>
      </c>
      <c r="J15" s="7">
        <v>6.1</v>
      </c>
      <c r="K15" s="7">
        <v>6.65</v>
      </c>
      <c r="L15" s="7">
        <v>7.3</v>
      </c>
      <c r="M15" s="7">
        <v>6.95</v>
      </c>
      <c r="N15" s="7">
        <v>6.75</v>
      </c>
      <c r="O15" s="7">
        <v>6.75</v>
      </c>
      <c r="P15" s="7">
        <v>5.75</v>
      </c>
      <c r="Q15" s="7">
        <v>5.65</v>
      </c>
      <c r="R15" s="7">
        <v>5.85</v>
      </c>
      <c r="S15" s="7">
        <v>6.95</v>
      </c>
      <c r="T15" s="7">
        <v>6.6</v>
      </c>
      <c r="U15" s="7">
        <v>6.1</v>
      </c>
      <c r="V15" s="7"/>
      <c r="W15" s="7"/>
      <c r="X15" s="7"/>
      <c r="Y15" s="7"/>
      <c r="Z15" s="7">
        <f t="shared" si="0"/>
        <v>84.1</v>
      </c>
      <c r="AA15" s="7">
        <f t="shared" si="1"/>
        <v>81.334622823984517</v>
      </c>
    </row>
    <row r="16" spans="1:27">
      <c r="A16" s="35">
        <v>46007</v>
      </c>
      <c r="B16" s="200">
        <v>3</v>
      </c>
      <c r="C16" s="37">
        <v>100</v>
      </c>
      <c r="D16" s="7">
        <v>131225</v>
      </c>
      <c r="E16" s="7">
        <v>5</v>
      </c>
      <c r="F16" s="7">
        <v>1100</v>
      </c>
      <c r="G16" s="7"/>
      <c r="H16" s="7">
        <v>30</v>
      </c>
      <c r="I16" s="7">
        <v>7.2</v>
      </c>
      <c r="J16" s="7">
        <v>3.4</v>
      </c>
      <c r="K16" s="7">
        <v>6.65</v>
      </c>
      <c r="L16" s="7">
        <v>5.6</v>
      </c>
      <c r="M16" s="7">
        <v>7.8</v>
      </c>
      <c r="N16" s="7">
        <v>7.2</v>
      </c>
      <c r="O16" s="7">
        <v>7.45</v>
      </c>
      <c r="P16" s="7">
        <v>7.2</v>
      </c>
      <c r="Q16" s="7">
        <v>6.15</v>
      </c>
      <c r="R16" s="7">
        <v>6.1</v>
      </c>
      <c r="S16" s="7">
        <v>5.5</v>
      </c>
      <c r="T16" s="7">
        <v>5.75</v>
      </c>
      <c r="U16" s="7">
        <v>7.35</v>
      </c>
      <c r="V16" s="7"/>
      <c r="W16" s="7"/>
      <c r="X16" s="7"/>
      <c r="Y16" s="7"/>
      <c r="Z16" s="7">
        <f t="shared" si="0"/>
        <v>83.35</v>
      </c>
      <c r="AA16" s="7">
        <f t="shared" si="1"/>
        <v>83.35</v>
      </c>
    </row>
    <row r="17" spans="1:27">
      <c r="A17" s="35">
        <v>46008</v>
      </c>
      <c r="B17" s="200">
        <v>4</v>
      </c>
      <c r="C17" s="37">
        <v>100</v>
      </c>
      <c r="D17" s="7">
        <v>131225</v>
      </c>
      <c r="E17" s="7" t="s">
        <v>340</v>
      </c>
      <c r="F17" s="7">
        <v>1100</v>
      </c>
      <c r="G17" s="7"/>
      <c r="H17" s="7">
        <v>30</v>
      </c>
      <c r="I17" s="7">
        <v>6.1</v>
      </c>
      <c r="J17" s="7">
        <v>6.15</v>
      </c>
      <c r="K17" s="7">
        <v>6.35</v>
      </c>
      <c r="L17" s="7">
        <v>7.1</v>
      </c>
      <c r="M17" s="7">
        <v>5.75</v>
      </c>
      <c r="N17" s="7">
        <v>6.6</v>
      </c>
      <c r="O17" s="7">
        <v>6.9</v>
      </c>
      <c r="P17" s="7">
        <v>6.35</v>
      </c>
      <c r="Q17" s="7">
        <v>7</v>
      </c>
      <c r="R17" s="7">
        <v>6.75</v>
      </c>
      <c r="S17" s="7">
        <v>6.5</v>
      </c>
      <c r="T17" s="7">
        <v>5.65</v>
      </c>
      <c r="U17" s="7"/>
      <c r="V17" s="7"/>
      <c r="W17" s="7"/>
      <c r="X17" s="7"/>
      <c r="Y17" s="7"/>
      <c r="Z17" s="7">
        <f t="shared" si="0"/>
        <v>77.200000000000017</v>
      </c>
      <c r="AA17" s="7">
        <f t="shared" si="1"/>
        <v>77.200000000000017</v>
      </c>
    </row>
    <row r="18" spans="1:27">
      <c r="A18" s="35">
        <v>46008</v>
      </c>
      <c r="B18" s="200">
        <v>5</v>
      </c>
      <c r="C18" s="37">
        <v>127</v>
      </c>
      <c r="D18" s="7">
        <v>131225</v>
      </c>
      <c r="E18" s="7" t="s">
        <v>341</v>
      </c>
      <c r="F18" s="7">
        <v>1100</v>
      </c>
      <c r="G18" s="7"/>
      <c r="H18" s="7">
        <v>30</v>
      </c>
      <c r="I18" s="7">
        <v>7.15</v>
      </c>
      <c r="J18" s="7">
        <v>6.6</v>
      </c>
      <c r="K18" s="7">
        <v>8.0500000000000007</v>
      </c>
      <c r="L18" s="7">
        <v>6</v>
      </c>
      <c r="M18" s="7">
        <v>7.6</v>
      </c>
      <c r="N18" s="7">
        <v>8.1</v>
      </c>
      <c r="O18" s="7">
        <v>7.65</v>
      </c>
      <c r="P18" s="7">
        <v>6.9</v>
      </c>
      <c r="Q18" s="7">
        <v>4.7</v>
      </c>
      <c r="R18" s="7">
        <v>6.3</v>
      </c>
      <c r="S18" s="7">
        <v>7.3</v>
      </c>
      <c r="T18" s="7">
        <v>6</v>
      </c>
      <c r="U18" s="7">
        <v>6.8</v>
      </c>
      <c r="V18" s="7">
        <v>6.2</v>
      </c>
      <c r="W18" s="7"/>
      <c r="X18" s="7"/>
      <c r="Y18" s="7"/>
      <c r="Z18" s="7">
        <f t="shared" si="0"/>
        <v>95.35</v>
      </c>
      <c r="AA18" s="7">
        <f t="shared" si="1"/>
        <v>75.078740157480311</v>
      </c>
    </row>
    <row r="19" spans="1:27">
      <c r="A19" s="35">
        <v>46008</v>
      </c>
      <c r="B19" s="200">
        <v>6</v>
      </c>
      <c r="C19" s="37">
        <v>107.85</v>
      </c>
      <c r="D19" s="7">
        <v>171225</v>
      </c>
      <c r="E19" s="7">
        <v>5.34</v>
      </c>
      <c r="F19" s="7">
        <v>0</v>
      </c>
      <c r="G19" s="7"/>
      <c r="H19" s="7">
        <v>30</v>
      </c>
      <c r="I19" s="7">
        <v>7.7</v>
      </c>
      <c r="J19" s="7">
        <v>6.2</v>
      </c>
      <c r="K19" s="7">
        <v>8.1</v>
      </c>
      <c r="L19" s="7">
        <v>5.9</v>
      </c>
      <c r="M19" s="7">
        <v>7.6</v>
      </c>
      <c r="N19" s="7">
        <v>7.45</v>
      </c>
      <c r="O19" s="7">
        <v>6.9</v>
      </c>
      <c r="P19" s="7">
        <v>6.55</v>
      </c>
      <c r="Q19" s="7">
        <v>6.1</v>
      </c>
      <c r="R19" s="7">
        <v>6.45</v>
      </c>
      <c r="S19" s="7">
        <v>5.85</v>
      </c>
      <c r="T19" s="7">
        <v>6.9</v>
      </c>
      <c r="U19" s="7"/>
      <c r="V19" s="7"/>
      <c r="W19" s="7"/>
      <c r="X19" s="7"/>
      <c r="Y19" s="7"/>
      <c r="Z19" s="7">
        <f t="shared" si="0"/>
        <v>81.7</v>
      </c>
      <c r="AA19" s="7">
        <f t="shared" si="1"/>
        <v>75.753361149745018</v>
      </c>
    </row>
    <row r="20" spans="1:27">
      <c r="A20" s="35">
        <v>46009</v>
      </c>
      <c r="B20" s="200">
        <v>7</v>
      </c>
      <c r="C20" s="37">
        <v>94.55</v>
      </c>
      <c r="D20" s="7">
        <v>171225</v>
      </c>
      <c r="E20" s="7"/>
      <c r="F20" s="7">
        <v>1100</v>
      </c>
      <c r="G20" s="7"/>
      <c r="H20" s="7">
        <v>30</v>
      </c>
      <c r="I20" s="7">
        <v>5.3</v>
      </c>
      <c r="J20" s="7">
        <v>6.45</v>
      </c>
      <c r="K20" s="7">
        <v>5.6</v>
      </c>
      <c r="L20" s="7">
        <v>6.15</v>
      </c>
      <c r="M20" s="7">
        <v>6.2</v>
      </c>
      <c r="N20" s="7">
        <v>5.4</v>
      </c>
      <c r="O20" s="7">
        <v>6.25</v>
      </c>
      <c r="P20" s="7">
        <v>5.85</v>
      </c>
      <c r="Q20" s="7">
        <v>6.2</v>
      </c>
      <c r="R20" s="7">
        <v>6.45</v>
      </c>
      <c r="S20" s="7">
        <v>6.15</v>
      </c>
      <c r="T20" s="7">
        <v>7.05</v>
      </c>
      <c r="U20" s="7">
        <v>6.25</v>
      </c>
      <c r="V20" s="7"/>
      <c r="W20" s="7"/>
      <c r="X20" s="7"/>
      <c r="Y20" s="7"/>
      <c r="Z20" s="7">
        <f t="shared" si="0"/>
        <v>79.300000000000011</v>
      </c>
      <c r="AA20" s="7">
        <f t="shared" si="1"/>
        <v>83.870967741935502</v>
      </c>
    </row>
    <row r="21" spans="1:27">
      <c r="A21" s="35">
        <v>46009</v>
      </c>
      <c r="B21" s="200">
        <v>8</v>
      </c>
      <c r="C21" s="37">
        <v>98.55</v>
      </c>
      <c r="D21" s="7">
        <v>171225</v>
      </c>
      <c r="E21" s="7"/>
      <c r="F21" s="7">
        <v>1111</v>
      </c>
      <c r="G21" s="7"/>
      <c r="H21" s="7">
        <v>30</v>
      </c>
      <c r="I21" s="7">
        <v>7.3</v>
      </c>
      <c r="J21" s="7">
        <v>6.65</v>
      </c>
      <c r="K21" s="7">
        <v>6.8</v>
      </c>
      <c r="L21" s="7">
        <v>6</v>
      </c>
      <c r="M21" s="7">
        <v>7</v>
      </c>
      <c r="N21" s="7">
        <v>6.45</v>
      </c>
      <c r="O21" s="7">
        <v>6.85</v>
      </c>
      <c r="P21" s="7">
        <v>5.45</v>
      </c>
      <c r="Q21" s="7">
        <v>6.45</v>
      </c>
      <c r="R21" s="7">
        <v>6.65</v>
      </c>
      <c r="S21" s="7">
        <v>6.7</v>
      </c>
      <c r="T21" s="7">
        <v>7.3</v>
      </c>
      <c r="U21" s="7"/>
      <c r="V21" s="7"/>
      <c r="W21" s="7"/>
      <c r="X21" s="7"/>
      <c r="Y21" s="7"/>
      <c r="Z21" s="7">
        <f t="shared" si="0"/>
        <v>79.600000000000009</v>
      </c>
      <c r="AA21" s="7">
        <f t="shared" si="1"/>
        <v>80.771182141045159</v>
      </c>
    </row>
    <row r="22" spans="1:27">
      <c r="A22" s="35">
        <v>46010</v>
      </c>
      <c r="B22" s="200">
        <v>9</v>
      </c>
      <c r="C22" s="37">
        <v>95.1</v>
      </c>
      <c r="D22" s="7">
        <v>181225</v>
      </c>
      <c r="E22" s="7">
        <v>5.5</v>
      </c>
      <c r="F22" s="7">
        <v>1331</v>
      </c>
      <c r="G22" s="7"/>
      <c r="H22" s="7">
        <v>30</v>
      </c>
      <c r="I22" s="7">
        <v>7.05</v>
      </c>
      <c r="J22" s="7">
        <v>6.2</v>
      </c>
      <c r="K22" s="7">
        <v>6.8</v>
      </c>
      <c r="L22" s="7">
        <v>6.8</v>
      </c>
      <c r="M22" s="7">
        <v>6.55</v>
      </c>
      <c r="N22" s="7">
        <v>6.5</v>
      </c>
      <c r="O22" s="7">
        <v>5.5</v>
      </c>
      <c r="P22" s="7">
        <v>6.4</v>
      </c>
      <c r="Q22" s="7">
        <v>6.55</v>
      </c>
      <c r="R22" s="7">
        <v>6.35</v>
      </c>
      <c r="S22" s="7">
        <v>6.4</v>
      </c>
      <c r="T22" s="7">
        <v>6.55</v>
      </c>
      <c r="U22" s="7"/>
      <c r="V22" s="7"/>
      <c r="W22" s="7"/>
      <c r="X22" s="7"/>
      <c r="Y22" s="7"/>
      <c r="Z22" s="7">
        <f t="shared" si="0"/>
        <v>77.649999999999991</v>
      </c>
      <c r="AA22" s="7">
        <f t="shared" si="1"/>
        <v>81.650893796004198</v>
      </c>
    </row>
    <row r="23" spans="1:27">
      <c r="A23" s="35">
        <v>46010</v>
      </c>
      <c r="B23" s="200">
        <v>10</v>
      </c>
      <c r="C23" s="37">
        <v>94.2</v>
      </c>
      <c r="D23" s="7">
        <v>181225</v>
      </c>
      <c r="E23" s="7">
        <v>5.45</v>
      </c>
      <c r="F23" s="7">
        <v>1400</v>
      </c>
      <c r="G23" s="7">
        <v>5.32</v>
      </c>
      <c r="H23" s="7">
        <v>30</v>
      </c>
      <c r="I23" s="7">
        <v>6.4</v>
      </c>
      <c r="J23" s="7">
        <v>5.3</v>
      </c>
      <c r="K23" s="7">
        <v>6.7</v>
      </c>
      <c r="L23" s="7">
        <v>5.2</v>
      </c>
      <c r="M23" s="7">
        <v>6.3</v>
      </c>
      <c r="N23" s="7">
        <v>5.7</v>
      </c>
      <c r="O23" s="7">
        <v>6.5</v>
      </c>
      <c r="P23" s="7">
        <v>6.65</v>
      </c>
      <c r="Q23" s="7">
        <v>7.9</v>
      </c>
      <c r="R23" s="7">
        <v>6.6</v>
      </c>
      <c r="S23" s="7">
        <v>6.55</v>
      </c>
      <c r="T23" s="7">
        <v>5.8</v>
      </c>
      <c r="U23" s="7"/>
      <c r="V23" s="7"/>
      <c r="W23" s="7"/>
      <c r="X23" s="7"/>
      <c r="Y23" s="7"/>
      <c r="Z23" s="7">
        <f t="shared" si="0"/>
        <v>75.599999999999994</v>
      </c>
      <c r="AA23" s="7">
        <f t="shared" si="1"/>
        <v>80.254777070063682</v>
      </c>
    </row>
    <row r="24" spans="1:27">
      <c r="A24" s="35">
        <v>46010</v>
      </c>
      <c r="B24" s="200">
        <v>11</v>
      </c>
      <c r="C24" s="37">
        <v>100.4</v>
      </c>
      <c r="D24" s="7">
        <v>181225</v>
      </c>
      <c r="E24" s="7"/>
      <c r="F24" s="7">
        <v>1400</v>
      </c>
      <c r="G24" s="7"/>
      <c r="H24" s="7">
        <v>30</v>
      </c>
      <c r="I24" s="7">
        <v>8.15</v>
      </c>
      <c r="J24" s="7">
        <v>7.5</v>
      </c>
      <c r="K24" s="7">
        <v>6.85</v>
      </c>
      <c r="L24" s="7">
        <v>5.85</v>
      </c>
      <c r="M24" s="7">
        <v>7.3</v>
      </c>
      <c r="N24" s="7">
        <v>6.3</v>
      </c>
      <c r="O24" s="7">
        <v>6.3</v>
      </c>
      <c r="P24" s="7">
        <v>7</v>
      </c>
      <c r="Q24" s="7">
        <v>6.3</v>
      </c>
      <c r="R24" s="7">
        <v>6.15</v>
      </c>
      <c r="S24" s="7">
        <v>7.3</v>
      </c>
      <c r="T24" s="7">
        <v>4.6500000000000004</v>
      </c>
      <c r="U24" s="7">
        <v>6.1</v>
      </c>
      <c r="V24" s="7"/>
      <c r="W24" s="7"/>
      <c r="X24" s="7"/>
      <c r="Y24" s="7"/>
      <c r="Z24" s="7">
        <f t="shared" si="0"/>
        <v>85.749999999999986</v>
      </c>
      <c r="AA24" s="7">
        <f t="shared" si="1"/>
        <v>85.408366533864523</v>
      </c>
    </row>
    <row r="25" spans="1:27">
      <c r="A25" s="35">
        <v>46011</v>
      </c>
      <c r="B25" s="200">
        <v>12</v>
      </c>
      <c r="C25" s="37">
        <v>100</v>
      </c>
      <c r="D25" s="7">
        <v>181225</v>
      </c>
      <c r="E25" s="7"/>
      <c r="F25" s="7"/>
      <c r="G25" s="7"/>
      <c r="H25" s="7">
        <v>30</v>
      </c>
      <c r="I25" s="7">
        <v>8.15</v>
      </c>
      <c r="J25" s="7">
        <v>8.3000000000000007</v>
      </c>
      <c r="K25" s="7">
        <v>8</v>
      </c>
      <c r="L25" s="7">
        <v>8.4</v>
      </c>
      <c r="M25" s="7">
        <v>8.65</v>
      </c>
      <c r="N25" s="7">
        <v>9.15</v>
      </c>
      <c r="O25" s="7">
        <v>8.15</v>
      </c>
      <c r="P25" s="7">
        <v>8.75</v>
      </c>
      <c r="Q25" s="7">
        <v>9.4499999999999993</v>
      </c>
      <c r="R25" s="7">
        <v>8.5500000000000007</v>
      </c>
      <c r="S25" s="7">
        <v>9.1999999999999993</v>
      </c>
      <c r="T25" s="7">
        <v>8.5</v>
      </c>
      <c r="U25" s="7"/>
      <c r="V25" s="7"/>
      <c r="W25" s="7"/>
      <c r="X25" s="7"/>
      <c r="Y25" s="7"/>
      <c r="Z25" s="7">
        <f t="shared" si="0"/>
        <v>103.25</v>
      </c>
      <c r="AA25" s="7">
        <f t="shared" si="1"/>
        <v>103.25</v>
      </c>
    </row>
    <row r="26" spans="1:27">
      <c r="A26" s="35">
        <v>46013</v>
      </c>
      <c r="B26" s="200">
        <v>13</v>
      </c>
      <c r="C26" s="37">
        <v>99.51</v>
      </c>
      <c r="D26" s="7">
        <v>191225</v>
      </c>
      <c r="E26" s="7">
        <v>6.34</v>
      </c>
      <c r="F26" s="7">
        <v>1100</v>
      </c>
      <c r="G26" s="7"/>
      <c r="H26" s="7">
        <v>30</v>
      </c>
      <c r="I26" s="7">
        <v>5.85</v>
      </c>
      <c r="J26" s="7">
        <v>4.5</v>
      </c>
      <c r="K26" s="7">
        <v>5.85</v>
      </c>
      <c r="L26" s="7">
        <v>7.35</v>
      </c>
      <c r="M26" s="7">
        <v>5.45</v>
      </c>
      <c r="N26" s="7">
        <v>6.65</v>
      </c>
      <c r="O26" s="7">
        <v>5.3</v>
      </c>
      <c r="P26" s="7">
        <v>4.8499999999999996</v>
      </c>
      <c r="Q26" s="7">
        <v>6.25</v>
      </c>
      <c r="R26" s="7">
        <v>6.65</v>
      </c>
      <c r="S26" s="7">
        <v>6.45</v>
      </c>
      <c r="T26" s="7">
        <v>6.15</v>
      </c>
      <c r="U26" s="7">
        <v>6.05</v>
      </c>
      <c r="V26" s="7"/>
      <c r="W26" s="7"/>
      <c r="X26" s="7"/>
      <c r="Y26" s="7"/>
      <c r="Z26" s="7">
        <f t="shared" si="0"/>
        <v>77.349999999999994</v>
      </c>
      <c r="AA26" s="7">
        <f t="shared" si="1"/>
        <v>77.730881318460447</v>
      </c>
    </row>
    <row r="27" spans="1:27">
      <c r="A27" s="35">
        <v>46013</v>
      </c>
      <c r="B27" s="200">
        <v>14</v>
      </c>
      <c r="C27" s="37">
        <v>54</v>
      </c>
      <c r="D27" s="7">
        <v>191225</v>
      </c>
      <c r="E27" s="7"/>
      <c r="F27" s="7">
        <v>550</v>
      </c>
      <c r="G27" s="7"/>
      <c r="H27" s="7">
        <v>30</v>
      </c>
      <c r="I27" s="7">
        <v>7.1</v>
      </c>
      <c r="J27" s="7">
        <v>6.25</v>
      </c>
      <c r="K27" s="7">
        <v>5.0999999999999996</v>
      </c>
      <c r="L27" s="7">
        <v>4.0999999999999996</v>
      </c>
      <c r="M27" s="7">
        <v>6</v>
      </c>
      <c r="N27" s="7">
        <v>6.55</v>
      </c>
      <c r="O27" s="7">
        <v>5.9</v>
      </c>
      <c r="P27" s="7">
        <v>7.1</v>
      </c>
      <c r="Q27" s="7"/>
      <c r="R27" s="7"/>
      <c r="S27" s="7"/>
      <c r="T27" s="7"/>
      <c r="U27" s="7"/>
      <c r="V27" s="7"/>
      <c r="W27" s="7"/>
      <c r="X27" s="7"/>
      <c r="Y27" s="7"/>
      <c r="Z27" s="7">
        <f t="shared" si="0"/>
        <v>48.099999999999994</v>
      </c>
      <c r="AA27" s="7">
        <f t="shared" si="1"/>
        <v>89.074074074074062</v>
      </c>
    </row>
    <row r="28" spans="1:27">
      <c r="A28" s="35">
        <v>46013</v>
      </c>
      <c r="B28" s="200">
        <v>15</v>
      </c>
      <c r="C28" s="37">
        <v>55</v>
      </c>
      <c r="D28" s="7">
        <v>191225</v>
      </c>
      <c r="E28" s="7"/>
      <c r="F28" s="7">
        <v>550</v>
      </c>
      <c r="G28" s="7"/>
      <c r="H28" s="7">
        <v>6</v>
      </c>
      <c r="I28" s="7">
        <v>6.35</v>
      </c>
      <c r="J28" s="7">
        <v>5.5</v>
      </c>
      <c r="K28" s="7">
        <v>5.95</v>
      </c>
      <c r="L28" s="7">
        <v>6.65</v>
      </c>
      <c r="M28" s="7">
        <v>2.0499999999999998</v>
      </c>
      <c r="N28" s="7">
        <v>5.35</v>
      </c>
      <c r="O28" s="7">
        <v>6</v>
      </c>
      <c r="P28" s="7">
        <v>5.05</v>
      </c>
      <c r="Q28" s="7">
        <v>5.85</v>
      </c>
      <c r="R28" s="7">
        <v>5.45</v>
      </c>
      <c r="S28" s="7"/>
      <c r="T28" s="7"/>
      <c r="U28" s="7"/>
      <c r="V28" s="7"/>
      <c r="W28" s="7"/>
      <c r="X28" s="7"/>
      <c r="Y28" s="7"/>
      <c r="Z28" s="7">
        <f t="shared" si="0"/>
        <v>54.2</v>
      </c>
      <c r="AA28" s="7">
        <f t="shared" si="1"/>
        <v>98.545454545454547</v>
      </c>
    </row>
    <row r="29" spans="1:27">
      <c r="A29" s="35">
        <v>46013</v>
      </c>
      <c r="B29" s="200">
        <v>16</v>
      </c>
      <c r="C29" s="37">
        <v>50</v>
      </c>
      <c r="D29" s="7">
        <v>201225</v>
      </c>
      <c r="E29" s="7"/>
      <c r="F29" s="7">
        <v>0</v>
      </c>
      <c r="G29" s="7"/>
      <c r="H29" s="7">
        <v>6</v>
      </c>
      <c r="I29" s="7">
        <v>5.65</v>
      </c>
      <c r="J29" s="7">
        <v>7.4</v>
      </c>
      <c r="K29" s="7">
        <v>5.95</v>
      </c>
      <c r="L29" s="7">
        <v>5.9</v>
      </c>
      <c r="M29" s="7">
        <v>5.8</v>
      </c>
      <c r="N29" s="7">
        <v>5.8</v>
      </c>
      <c r="O29" s="7">
        <v>6.45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>
        <f t="shared" si="0"/>
        <v>42.95</v>
      </c>
      <c r="AA29" s="7">
        <f t="shared" si="1"/>
        <v>85.9</v>
      </c>
    </row>
    <row r="30" spans="1:27">
      <c r="A30" s="35">
        <v>46013</v>
      </c>
      <c r="B30" s="200">
        <v>17</v>
      </c>
      <c r="C30" s="37">
        <v>60</v>
      </c>
      <c r="D30" s="7">
        <v>201225</v>
      </c>
      <c r="E30" s="7"/>
      <c r="F30" s="7">
        <v>500</v>
      </c>
      <c r="G30" s="7"/>
      <c r="H30" s="7">
        <v>6</v>
      </c>
      <c r="I30" s="7">
        <v>4.9000000000000004</v>
      </c>
      <c r="J30" s="7">
        <v>5.6</v>
      </c>
      <c r="K30" s="7">
        <v>4.95</v>
      </c>
      <c r="L30" s="7">
        <v>6.1</v>
      </c>
      <c r="M30" s="7">
        <v>5.9</v>
      </c>
      <c r="N30" s="7">
        <v>5.9</v>
      </c>
      <c r="O30" s="7">
        <v>6.05</v>
      </c>
      <c r="P30" s="7">
        <v>5.25</v>
      </c>
      <c r="Q30" s="7">
        <v>5.85</v>
      </c>
      <c r="R30" s="7">
        <v>5.15</v>
      </c>
      <c r="S30" s="7"/>
      <c r="T30" s="7"/>
      <c r="U30" s="7"/>
      <c r="V30" s="7"/>
      <c r="W30" s="7"/>
      <c r="X30" s="7"/>
      <c r="Y30" s="7"/>
      <c r="Z30" s="7">
        <f t="shared" si="0"/>
        <v>55.649999999999991</v>
      </c>
      <c r="AA30" s="7">
        <f t="shared" si="1"/>
        <v>92.749999999999986</v>
      </c>
    </row>
    <row r="31" spans="1:27">
      <c r="A31" s="35">
        <v>46013</v>
      </c>
      <c r="B31" s="200">
        <v>18</v>
      </c>
      <c r="C31" s="37">
        <v>60</v>
      </c>
      <c r="D31" s="7">
        <v>191225</v>
      </c>
      <c r="E31" s="7"/>
      <c r="F31" s="7">
        <v>720</v>
      </c>
      <c r="G31" s="7"/>
      <c r="H31" s="7">
        <v>6</v>
      </c>
      <c r="I31" s="7">
        <v>5.8</v>
      </c>
      <c r="J31" s="7">
        <v>8.4</v>
      </c>
      <c r="K31" s="7">
        <v>6.6</v>
      </c>
      <c r="L31" s="7">
        <v>5.7</v>
      </c>
      <c r="M31" s="7">
        <v>5.45</v>
      </c>
      <c r="N31" s="7">
        <v>6.75</v>
      </c>
      <c r="O31" s="7">
        <v>5.3</v>
      </c>
      <c r="P31" s="7">
        <v>7</v>
      </c>
      <c r="Q31" s="7">
        <v>5.25</v>
      </c>
      <c r="R31" s="7"/>
      <c r="S31" s="7"/>
      <c r="T31" s="7"/>
      <c r="U31" s="7"/>
      <c r="V31" s="7"/>
      <c r="W31" s="7"/>
      <c r="X31" s="7"/>
      <c r="Y31" s="7"/>
      <c r="Z31" s="7">
        <f t="shared" si="0"/>
        <v>56.249999999999993</v>
      </c>
      <c r="AA31" s="7">
        <f t="shared" si="1"/>
        <v>93.749999999999986</v>
      </c>
    </row>
    <row r="32" spans="1:27">
      <c r="A32" s="35">
        <v>46013</v>
      </c>
      <c r="B32" s="200">
        <v>19</v>
      </c>
      <c r="C32" s="37">
        <f>12.87+68</f>
        <v>80.87</v>
      </c>
      <c r="D32" s="7" t="s">
        <v>342</v>
      </c>
      <c r="E32" s="7"/>
      <c r="F32" s="7"/>
      <c r="G32" s="7"/>
      <c r="H32" s="7">
        <v>6</v>
      </c>
      <c r="I32" s="7">
        <v>7.7</v>
      </c>
      <c r="J32" s="7">
        <v>7.3</v>
      </c>
      <c r="K32" s="7">
        <v>6.5</v>
      </c>
      <c r="L32" s="7">
        <v>5.9</v>
      </c>
      <c r="M32" s="7">
        <v>6.9</v>
      </c>
      <c r="N32" s="7">
        <v>6.7</v>
      </c>
      <c r="O32" s="7">
        <v>6.4</v>
      </c>
      <c r="P32" s="7">
        <v>6.45</v>
      </c>
      <c r="Q32" s="7">
        <v>6.2</v>
      </c>
      <c r="R32" s="7">
        <v>7.95</v>
      </c>
      <c r="S32" s="7">
        <v>5.85</v>
      </c>
      <c r="T32" s="7"/>
      <c r="U32" s="7"/>
      <c r="V32" s="7"/>
      <c r="W32" s="7"/>
      <c r="X32" s="7"/>
      <c r="Y32" s="7"/>
      <c r="Z32" s="7">
        <f t="shared" si="0"/>
        <v>73.849999999999994</v>
      </c>
      <c r="AA32" s="7">
        <f t="shared" si="1"/>
        <v>91.319401508594026</v>
      </c>
    </row>
    <row r="33" spans="1:27">
      <c r="A33" s="35">
        <v>46014</v>
      </c>
      <c r="B33" s="200">
        <v>20</v>
      </c>
      <c r="C33" s="37">
        <v>50.9</v>
      </c>
      <c r="D33" s="7">
        <v>201225</v>
      </c>
      <c r="E33" s="7"/>
      <c r="F33" s="7">
        <v>0</v>
      </c>
      <c r="G33" s="7"/>
      <c r="H33" s="7">
        <v>6</v>
      </c>
      <c r="I33" s="7">
        <v>6.35</v>
      </c>
      <c r="J33" s="7">
        <v>6.8680000000000003</v>
      </c>
      <c r="K33" s="7">
        <v>4.96</v>
      </c>
      <c r="L33" s="7">
        <v>6.08</v>
      </c>
      <c r="M33" s="7">
        <v>5.9649999999999999</v>
      </c>
      <c r="N33" s="7">
        <v>5.73</v>
      </c>
      <c r="O33" s="7">
        <v>5.76</v>
      </c>
      <c r="P33" s="7">
        <v>5.1660000000000004</v>
      </c>
      <c r="Q33" s="7"/>
      <c r="R33" s="7"/>
      <c r="S33" s="7"/>
      <c r="T33" s="7"/>
      <c r="U33" s="7"/>
      <c r="V33" s="7"/>
      <c r="W33" s="7"/>
      <c r="X33" s="7"/>
      <c r="Y33" s="7"/>
      <c r="Z33" s="7">
        <f t="shared" si="0"/>
        <v>46.879000000000005</v>
      </c>
      <c r="AA33" s="7">
        <f t="shared" si="1"/>
        <v>92.100196463654243</v>
      </c>
    </row>
    <row r="34" spans="1:27">
      <c r="A34" s="35">
        <v>46014</v>
      </c>
      <c r="B34" s="200">
        <v>21</v>
      </c>
      <c r="C34" s="37">
        <v>53.85</v>
      </c>
      <c r="D34" s="7">
        <v>201225</v>
      </c>
      <c r="E34" s="7"/>
      <c r="F34" s="7"/>
      <c r="G34" s="7"/>
      <c r="H34" s="7">
        <v>6</v>
      </c>
      <c r="I34" s="7">
        <v>6.4359999999999999</v>
      </c>
      <c r="J34" s="7">
        <v>3.3639999999999999</v>
      </c>
      <c r="K34" s="7">
        <v>6.3079999999999998</v>
      </c>
      <c r="L34" s="7">
        <v>6.556</v>
      </c>
      <c r="M34" s="7">
        <v>6.1020000000000003</v>
      </c>
      <c r="N34" s="7">
        <v>6.4379999999999997</v>
      </c>
      <c r="O34" s="7">
        <v>5.6</v>
      </c>
      <c r="P34" s="7">
        <v>5.7279999999999998</v>
      </c>
      <c r="Q34" s="7"/>
      <c r="R34" s="7"/>
      <c r="S34" s="7"/>
      <c r="T34" s="7"/>
      <c r="U34" s="7"/>
      <c r="V34" s="7"/>
      <c r="W34" s="7"/>
      <c r="X34" s="7"/>
      <c r="Y34" s="7"/>
      <c r="Z34" s="7">
        <f t="shared" si="0"/>
        <v>46.532000000000004</v>
      </c>
      <c r="AA34" s="7">
        <f t="shared" si="1"/>
        <v>86.41039925719592</v>
      </c>
    </row>
    <row r="35" spans="1:27">
      <c r="A35" s="35">
        <v>46014</v>
      </c>
      <c r="B35" s="200">
        <v>22</v>
      </c>
      <c r="C35" s="37">
        <v>55.25</v>
      </c>
      <c r="D35" s="7">
        <v>201225</v>
      </c>
      <c r="E35" s="7"/>
      <c r="F35" s="7">
        <v>551</v>
      </c>
      <c r="G35" s="7"/>
      <c r="H35" s="7">
        <v>6</v>
      </c>
      <c r="I35" s="7">
        <v>5.86</v>
      </c>
      <c r="J35" s="7">
        <v>5.67</v>
      </c>
      <c r="K35" s="7">
        <v>6.29</v>
      </c>
      <c r="L35" s="7">
        <v>5.64</v>
      </c>
      <c r="M35" s="7">
        <v>5.85</v>
      </c>
      <c r="N35" s="7">
        <v>5.63</v>
      </c>
      <c r="O35" s="7">
        <v>6.04</v>
      </c>
      <c r="P35" s="7">
        <v>5.94</v>
      </c>
      <c r="Q35" s="7"/>
      <c r="R35" s="7"/>
      <c r="S35" s="7"/>
      <c r="T35" s="7"/>
      <c r="U35" s="7"/>
      <c r="V35" s="7"/>
      <c r="W35" s="7"/>
      <c r="X35" s="7"/>
      <c r="Y35" s="7"/>
      <c r="Z35" s="7">
        <f t="shared" si="0"/>
        <v>46.92</v>
      </c>
      <c r="AA35" s="7">
        <f t="shared" si="1"/>
        <v>84.92307692307692</v>
      </c>
    </row>
    <row r="36" spans="1:27">
      <c r="A36" s="117">
        <v>46014</v>
      </c>
      <c r="B36" s="203">
        <v>23</v>
      </c>
      <c r="C36" s="128">
        <v>55.1</v>
      </c>
      <c r="D36" s="111">
        <v>201225</v>
      </c>
      <c r="E36" s="111"/>
      <c r="F36" s="111">
        <v>552</v>
      </c>
      <c r="G36" s="111"/>
      <c r="H36" s="111">
        <v>6</v>
      </c>
      <c r="I36" s="111">
        <v>7.7</v>
      </c>
      <c r="J36" s="111">
        <v>7.15</v>
      </c>
      <c r="K36" s="111">
        <v>7.05</v>
      </c>
      <c r="L36" s="111">
        <v>6.95</v>
      </c>
      <c r="M36" s="111">
        <v>7</v>
      </c>
      <c r="N36" s="111">
        <v>6.2</v>
      </c>
      <c r="O36" s="111">
        <v>5.65</v>
      </c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>
        <f t="shared" si="0"/>
        <v>47.7</v>
      </c>
      <c r="AA36" s="111">
        <f t="shared" si="1"/>
        <v>86.569872958257719</v>
      </c>
    </row>
    <row r="37" spans="1:27" s="7" customFormat="1">
      <c r="A37" s="35">
        <v>46031</v>
      </c>
      <c r="B37" s="200">
        <v>1</v>
      </c>
      <c r="C37" s="37">
        <v>52</v>
      </c>
      <c r="D37" s="7">
        <v>801261</v>
      </c>
      <c r="E37" s="7">
        <v>5.4</v>
      </c>
      <c r="F37" s="7" t="s">
        <v>343</v>
      </c>
      <c r="H37" s="7">
        <v>6</v>
      </c>
      <c r="I37" s="7">
        <v>5.4</v>
      </c>
      <c r="J37" s="7">
        <v>4.95</v>
      </c>
      <c r="K37" s="7">
        <v>5.4</v>
      </c>
      <c r="L37" s="7">
        <v>5.65</v>
      </c>
      <c r="M37" s="7">
        <v>6.05</v>
      </c>
      <c r="N37" s="7">
        <v>4.8</v>
      </c>
      <c r="O37" s="7">
        <v>5.3</v>
      </c>
      <c r="P37" s="7">
        <v>6.5</v>
      </c>
      <c r="Z37" s="7">
        <f t="shared" si="0"/>
        <v>44.05</v>
      </c>
      <c r="AA37" s="7">
        <f t="shared" si="1"/>
        <v>84.711538461538467</v>
      </c>
    </row>
    <row r="38" spans="1:27" s="7" customFormat="1">
      <c r="A38" s="35">
        <v>46031</v>
      </c>
      <c r="B38" s="200">
        <v>2</v>
      </c>
      <c r="C38" s="37">
        <v>58.7</v>
      </c>
      <c r="D38" s="7">
        <v>801262</v>
      </c>
      <c r="I38" s="7">
        <v>5.9</v>
      </c>
      <c r="J38" s="7">
        <v>5.65</v>
      </c>
      <c r="K38" s="7">
        <v>6.9</v>
      </c>
      <c r="L38" s="7">
        <v>6.1</v>
      </c>
      <c r="M38" s="7">
        <v>3.4</v>
      </c>
      <c r="N38" s="7">
        <v>5.55</v>
      </c>
      <c r="O38" s="7">
        <v>5.75</v>
      </c>
      <c r="P38" s="7">
        <v>5.75</v>
      </c>
      <c r="Q38" s="7">
        <v>6.25</v>
      </c>
      <c r="Z38" s="7">
        <f t="shared" si="0"/>
        <v>51.25</v>
      </c>
      <c r="AA38" s="7">
        <f t="shared" ref="AA38:AA101" si="2">+Z38/C38</f>
        <v>0.87308347529812602</v>
      </c>
    </row>
    <row r="39" spans="1:27" s="7" customFormat="1">
      <c r="A39" s="35">
        <v>46031</v>
      </c>
      <c r="B39" s="200">
        <v>3</v>
      </c>
      <c r="C39" s="37">
        <v>58.4</v>
      </c>
      <c r="I39" s="7">
        <v>5.15</v>
      </c>
      <c r="J39" s="7">
        <v>5.84</v>
      </c>
      <c r="K39" s="7">
        <v>5.5</v>
      </c>
      <c r="L39" s="7">
        <v>6.05</v>
      </c>
      <c r="M39" s="7">
        <v>6.1</v>
      </c>
      <c r="N39" s="7">
        <v>5.6</v>
      </c>
      <c r="O39" s="7">
        <v>5.45</v>
      </c>
      <c r="P39" s="7">
        <v>6.15</v>
      </c>
      <c r="Q39" s="7">
        <v>6</v>
      </c>
      <c r="Z39" s="7">
        <f t="shared" si="0"/>
        <v>51.84</v>
      </c>
      <c r="AA39" s="7">
        <f t="shared" si="2"/>
        <v>0.88767123287671246</v>
      </c>
    </row>
    <row r="40" spans="1:27" s="7" customFormat="1">
      <c r="A40" s="35">
        <v>46031</v>
      </c>
      <c r="B40" s="200">
        <v>6</v>
      </c>
      <c r="C40" s="37">
        <v>57.85</v>
      </c>
      <c r="D40" s="7" t="s">
        <v>344</v>
      </c>
      <c r="I40" s="7">
        <v>5.4</v>
      </c>
      <c r="J40" s="7">
        <v>5.35</v>
      </c>
      <c r="K40" s="7">
        <v>6.4</v>
      </c>
      <c r="L40" s="7">
        <v>5.3</v>
      </c>
      <c r="M40" s="7">
        <v>6.05</v>
      </c>
      <c r="N40" s="7">
        <v>5.6</v>
      </c>
      <c r="O40" s="7">
        <v>5.25</v>
      </c>
      <c r="Z40" s="7">
        <f t="shared" si="0"/>
        <v>39.35</v>
      </c>
      <c r="AA40" s="7">
        <f t="shared" si="2"/>
        <v>0.68020743301642184</v>
      </c>
    </row>
    <row r="41" spans="1:27" s="7" customFormat="1">
      <c r="A41" s="35">
        <v>46032</v>
      </c>
      <c r="B41" s="200">
        <v>7</v>
      </c>
      <c r="C41" s="37">
        <v>53.6</v>
      </c>
      <c r="I41" s="7">
        <v>5.95</v>
      </c>
      <c r="J41" s="7">
        <v>5.95</v>
      </c>
      <c r="K41" s="7">
        <v>5.95</v>
      </c>
      <c r="L41" s="7">
        <v>5.8</v>
      </c>
      <c r="M41" s="7">
        <v>6.15</v>
      </c>
      <c r="N41" s="7">
        <v>6.95</v>
      </c>
      <c r="O41" s="7">
        <v>5.8</v>
      </c>
      <c r="Z41" s="7">
        <f t="shared" si="0"/>
        <v>42.550000000000004</v>
      </c>
      <c r="AA41" s="7">
        <f t="shared" si="2"/>
        <v>0.79384328358208966</v>
      </c>
    </row>
    <row r="42" spans="1:27" s="7" customFormat="1">
      <c r="A42" s="35">
        <v>46032</v>
      </c>
      <c r="B42" s="200">
        <v>8</v>
      </c>
      <c r="C42" s="37">
        <v>46.35</v>
      </c>
      <c r="D42" s="35">
        <v>46031</v>
      </c>
      <c r="I42" s="7">
        <v>5.75</v>
      </c>
      <c r="J42" s="7">
        <v>6.4</v>
      </c>
      <c r="K42" s="7">
        <v>6.6</v>
      </c>
      <c r="L42" s="7">
        <v>5.75</v>
      </c>
      <c r="M42" s="7">
        <v>6.45</v>
      </c>
      <c r="N42" s="7">
        <v>5.95</v>
      </c>
      <c r="Z42" s="7">
        <f t="shared" si="0"/>
        <v>36.9</v>
      </c>
      <c r="AA42" s="7">
        <f t="shared" si="2"/>
        <v>0.79611650485436891</v>
      </c>
    </row>
    <row r="43" spans="1:27" s="7" customFormat="1">
      <c r="A43" s="35">
        <v>46032</v>
      </c>
      <c r="B43" s="200">
        <v>9</v>
      </c>
      <c r="C43" s="37">
        <v>48.6</v>
      </c>
      <c r="D43" s="7">
        <v>90126</v>
      </c>
      <c r="I43" s="7">
        <v>5.0999999999999996</v>
      </c>
      <c r="J43" s="7">
        <v>4.0999999999999996</v>
      </c>
      <c r="K43" s="7">
        <v>5.15</v>
      </c>
      <c r="L43" s="7">
        <v>5.85</v>
      </c>
      <c r="M43" s="7">
        <v>5.9</v>
      </c>
      <c r="N43" s="7">
        <v>6.25</v>
      </c>
      <c r="O43" s="7">
        <v>5.8</v>
      </c>
      <c r="Z43" s="7">
        <f t="shared" si="0"/>
        <v>38.15</v>
      </c>
      <c r="AA43" s="7">
        <f t="shared" si="2"/>
        <v>0.78497942386831265</v>
      </c>
    </row>
    <row r="44" spans="1:27" s="7" customFormat="1">
      <c r="A44" s="35">
        <v>46034</v>
      </c>
      <c r="B44" s="200">
        <v>11</v>
      </c>
      <c r="C44" s="37">
        <v>54.15</v>
      </c>
      <c r="D44" s="7">
        <v>100126</v>
      </c>
      <c r="I44" s="7">
        <v>6.45</v>
      </c>
      <c r="J44" s="7">
        <v>4.9000000000000004</v>
      </c>
      <c r="K44" s="7">
        <v>4.3499999999999996</v>
      </c>
      <c r="L44" s="7">
        <v>5.9</v>
      </c>
      <c r="M44" s="7">
        <v>5.4</v>
      </c>
      <c r="N44" s="7">
        <v>5.7</v>
      </c>
      <c r="O44" s="7">
        <v>5.8</v>
      </c>
      <c r="P44" s="7">
        <v>6.8</v>
      </c>
      <c r="Z44" s="7">
        <f t="shared" si="0"/>
        <v>45.3</v>
      </c>
      <c r="AA44" s="7">
        <f t="shared" si="2"/>
        <v>0.83656509695290859</v>
      </c>
    </row>
    <row r="45" spans="1:27" s="7" customFormat="1">
      <c r="A45" s="35">
        <v>46034</v>
      </c>
      <c r="B45" s="200">
        <v>12</v>
      </c>
      <c r="C45" s="37">
        <v>50.16</v>
      </c>
      <c r="D45" s="7">
        <v>100126</v>
      </c>
      <c r="F45" s="7">
        <v>500</v>
      </c>
      <c r="I45" s="7">
        <v>6.3</v>
      </c>
      <c r="J45" s="7">
        <v>5.4</v>
      </c>
      <c r="K45" s="7">
        <v>6.4</v>
      </c>
      <c r="L45" s="7">
        <v>6.15</v>
      </c>
      <c r="M45" s="7">
        <v>6.25</v>
      </c>
      <c r="N45" s="7">
        <v>6.5</v>
      </c>
      <c r="O45" s="7">
        <v>5.7</v>
      </c>
      <c r="Z45" s="7">
        <f t="shared" si="0"/>
        <v>42.7</v>
      </c>
      <c r="AA45" s="7">
        <f t="shared" si="2"/>
        <v>0.85127591706539085</v>
      </c>
    </row>
    <row r="46" spans="1:27" s="7" customFormat="1">
      <c r="A46" s="35">
        <v>46034</v>
      </c>
      <c r="B46" s="200">
        <v>13</v>
      </c>
      <c r="C46" s="37">
        <v>54.1</v>
      </c>
      <c r="D46" s="7">
        <v>100126</v>
      </c>
      <c r="F46" s="7">
        <v>540</v>
      </c>
      <c r="I46" s="7">
        <v>6.05</v>
      </c>
      <c r="J46" s="7">
        <v>5.7</v>
      </c>
      <c r="K46" s="7">
        <v>6.45</v>
      </c>
      <c r="L46" s="7">
        <v>6.5</v>
      </c>
      <c r="M46" s="7">
        <v>5.15</v>
      </c>
      <c r="N46" s="7">
        <v>6.5</v>
      </c>
      <c r="O46" s="7">
        <v>5.05</v>
      </c>
      <c r="P46" s="7">
        <v>5.55</v>
      </c>
      <c r="Z46" s="7">
        <f t="shared" si="0"/>
        <v>46.949999999999996</v>
      </c>
      <c r="AA46" s="7">
        <f t="shared" si="2"/>
        <v>0.86783733826247678</v>
      </c>
    </row>
    <row r="47" spans="1:27" s="7" customFormat="1">
      <c r="A47" s="35">
        <v>46036</v>
      </c>
      <c r="B47" s="200">
        <v>14</v>
      </c>
      <c r="C47" s="37">
        <v>53</v>
      </c>
      <c r="D47" s="7">
        <v>100126</v>
      </c>
      <c r="F47" s="7">
        <v>530</v>
      </c>
      <c r="I47" s="7">
        <v>6.75</v>
      </c>
      <c r="J47" s="7">
        <v>6.25</v>
      </c>
      <c r="K47" s="7">
        <v>5.85</v>
      </c>
      <c r="L47" s="7">
        <v>5.45</v>
      </c>
      <c r="M47" s="7">
        <v>6.25</v>
      </c>
      <c r="N47" s="7">
        <v>5.95</v>
      </c>
      <c r="O47" s="7">
        <v>5.65</v>
      </c>
      <c r="P47" s="7">
        <v>3.8</v>
      </c>
      <c r="Z47" s="7">
        <f t="shared" si="0"/>
        <v>45.949999999999996</v>
      </c>
      <c r="AA47" s="7">
        <f t="shared" si="2"/>
        <v>0.86698113207547167</v>
      </c>
    </row>
    <row r="48" spans="1:27" s="7" customFormat="1">
      <c r="A48" s="35">
        <v>46036</v>
      </c>
      <c r="B48" s="200">
        <v>15</v>
      </c>
      <c r="C48" s="37"/>
      <c r="D48" s="7">
        <v>130126</v>
      </c>
      <c r="I48" s="7">
        <v>5.9</v>
      </c>
      <c r="J48" s="7">
        <v>3.9</v>
      </c>
      <c r="K48" s="7">
        <v>5.85</v>
      </c>
      <c r="L48" s="7">
        <v>6.85</v>
      </c>
      <c r="M48" s="7">
        <v>5.4</v>
      </c>
      <c r="N48" s="7">
        <v>6.5</v>
      </c>
      <c r="O48" s="7">
        <v>5.9</v>
      </c>
      <c r="P48" s="7">
        <v>6.45</v>
      </c>
      <c r="Q48" s="7">
        <v>6.05</v>
      </c>
      <c r="Z48" s="7">
        <f t="shared" si="0"/>
        <v>52.8</v>
      </c>
      <c r="AA48" s="7" t="e">
        <f t="shared" si="2"/>
        <v>#DIV/0!</v>
      </c>
    </row>
    <row r="49" spans="1:27" s="7" customFormat="1">
      <c r="A49" s="35">
        <v>46037</v>
      </c>
      <c r="B49" s="200">
        <v>16</v>
      </c>
      <c r="C49" s="37">
        <v>54.35</v>
      </c>
      <c r="D49" s="7">
        <v>140126</v>
      </c>
      <c r="I49" s="7">
        <v>5.4</v>
      </c>
      <c r="J49" s="7">
        <v>6.85</v>
      </c>
      <c r="K49" s="7">
        <v>6.65</v>
      </c>
      <c r="L49" s="7">
        <v>5.5</v>
      </c>
      <c r="M49" s="7">
        <v>5.55</v>
      </c>
      <c r="N49" s="7">
        <v>6</v>
      </c>
      <c r="O49" s="7">
        <v>5.35</v>
      </c>
      <c r="P49" s="7">
        <v>5.75</v>
      </c>
      <c r="Z49" s="7">
        <f t="shared" si="0"/>
        <v>47.050000000000004</v>
      </c>
      <c r="AA49" s="7">
        <f t="shared" si="2"/>
        <v>0.8656853725850967</v>
      </c>
    </row>
    <row r="50" spans="1:27" s="7" customFormat="1">
      <c r="A50" s="35">
        <v>46037</v>
      </c>
      <c r="B50" s="200">
        <v>17</v>
      </c>
      <c r="C50" s="37">
        <v>57.55</v>
      </c>
      <c r="D50" s="7">
        <v>130126</v>
      </c>
      <c r="F50" s="7">
        <v>530</v>
      </c>
      <c r="I50" s="7">
        <v>7</v>
      </c>
      <c r="J50" s="7">
        <v>6.2</v>
      </c>
      <c r="K50" s="7">
        <v>6.2</v>
      </c>
      <c r="L50" s="7">
        <v>7.2</v>
      </c>
      <c r="M50" s="7">
        <v>6.1</v>
      </c>
      <c r="N50" s="7">
        <v>5.9</v>
      </c>
      <c r="O50" s="7">
        <v>6.15</v>
      </c>
      <c r="P50" s="7">
        <v>5.55</v>
      </c>
      <c r="Z50" s="7">
        <f t="shared" si="0"/>
        <v>50.29999999999999</v>
      </c>
      <c r="AA50" s="7">
        <f t="shared" si="2"/>
        <v>0.87402258905299723</v>
      </c>
    </row>
    <row r="51" spans="1:27" s="7" customFormat="1">
      <c r="A51" s="35">
        <v>46037</v>
      </c>
      <c r="B51" s="200">
        <v>18</v>
      </c>
      <c r="C51" s="37">
        <v>56.2</v>
      </c>
      <c r="F51" s="7">
        <v>550</v>
      </c>
      <c r="I51" s="7">
        <v>6.15</v>
      </c>
      <c r="J51" s="7">
        <v>6.6</v>
      </c>
      <c r="K51" s="7">
        <v>6</v>
      </c>
      <c r="L51" s="7">
        <v>6.8</v>
      </c>
      <c r="M51" s="7">
        <v>6.25</v>
      </c>
      <c r="N51" s="7">
        <v>6.1</v>
      </c>
      <c r="O51" s="7">
        <v>6.25</v>
      </c>
      <c r="P51" s="7">
        <v>7.05</v>
      </c>
      <c r="Z51" s="7">
        <f t="shared" si="0"/>
        <v>51.199999999999996</v>
      </c>
      <c r="AA51" s="7">
        <f t="shared" si="2"/>
        <v>0.91103202846975073</v>
      </c>
    </row>
    <row r="52" spans="1:27" s="7" customFormat="1">
      <c r="A52" s="35">
        <v>46038</v>
      </c>
      <c r="B52" s="200">
        <v>19</v>
      </c>
      <c r="C52" s="37">
        <f>13.1+54.65</f>
        <v>67.75</v>
      </c>
      <c r="D52" s="7" t="s">
        <v>345</v>
      </c>
      <c r="F52" s="7">
        <v>630</v>
      </c>
      <c r="I52" s="7">
        <v>7.2</v>
      </c>
      <c r="J52" s="7">
        <v>7.25</v>
      </c>
      <c r="K52" s="7">
        <v>7.2</v>
      </c>
      <c r="L52" s="7">
        <v>6.15</v>
      </c>
      <c r="M52" s="7">
        <v>6.3</v>
      </c>
      <c r="N52" s="7">
        <v>6.55</v>
      </c>
      <c r="O52" s="7">
        <v>6.3</v>
      </c>
      <c r="P52" s="7">
        <v>6.65</v>
      </c>
      <c r="Q52" s="7">
        <v>5.85</v>
      </c>
      <c r="Z52" s="7">
        <f t="shared" si="0"/>
        <v>59.449999999999989</v>
      </c>
      <c r="AA52" s="7">
        <f t="shared" si="2"/>
        <v>0.87749077490774896</v>
      </c>
    </row>
    <row r="53" spans="1:27" s="7" customFormat="1">
      <c r="A53" s="35">
        <v>46038</v>
      </c>
      <c r="B53" s="200">
        <v>20</v>
      </c>
      <c r="C53" s="37">
        <f>13.3+65.25</f>
        <v>78.55</v>
      </c>
      <c r="D53" s="7" t="s">
        <v>346</v>
      </c>
      <c r="F53" s="7">
        <v>630</v>
      </c>
      <c r="I53" s="7">
        <v>7.05</v>
      </c>
      <c r="J53" s="7">
        <v>6.95</v>
      </c>
      <c r="K53" s="7">
        <v>6.4</v>
      </c>
      <c r="L53" s="7">
        <v>6.6</v>
      </c>
      <c r="M53" s="7">
        <v>6.6</v>
      </c>
      <c r="N53" s="7">
        <v>8.1</v>
      </c>
      <c r="O53" s="7">
        <v>6.85</v>
      </c>
      <c r="P53" s="7">
        <v>6.65</v>
      </c>
      <c r="Q53" s="7">
        <v>7.35</v>
      </c>
      <c r="R53" s="7">
        <v>7.55</v>
      </c>
      <c r="Z53" s="7">
        <f t="shared" si="0"/>
        <v>70.100000000000009</v>
      </c>
      <c r="AA53" s="7">
        <f t="shared" si="2"/>
        <v>0.89242520687460225</v>
      </c>
    </row>
    <row r="54" spans="1:27" s="7" customFormat="1">
      <c r="A54" s="35">
        <v>46038</v>
      </c>
      <c r="B54" s="200">
        <v>21</v>
      </c>
      <c r="C54" s="37">
        <f>12.6+18.3+33</f>
        <v>63.9</v>
      </c>
      <c r="D54" s="7" t="s">
        <v>347</v>
      </c>
      <c r="F54" s="7">
        <v>630</v>
      </c>
      <c r="I54" s="7">
        <v>5.95</v>
      </c>
      <c r="J54" s="7">
        <v>5.5</v>
      </c>
      <c r="K54" s="7">
        <v>6.9</v>
      </c>
      <c r="L54" s="7">
        <v>5.95</v>
      </c>
      <c r="M54" s="7">
        <v>6.95</v>
      </c>
      <c r="N54" s="7">
        <v>6</v>
      </c>
      <c r="O54" s="7">
        <v>6.35</v>
      </c>
      <c r="P54" s="7">
        <v>7</v>
      </c>
      <c r="Q54" s="7">
        <v>7.1</v>
      </c>
      <c r="Z54" s="7">
        <f t="shared" si="0"/>
        <v>57.7</v>
      </c>
      <c r="AA54" s="7">
        <f t="shared" si="2"/>
        <v>0.90297339593114245</v>
      </c>
    </row>
    <row r="55" spans="1:27" s="7" customFormat="1">
      <c r="A55" s="35">
        <v>46038</v>
      </c>
      <c r="B55" s="200">
        <v>22</v>
      </c>
      <c r="C55" s="37">
        <f>13.9+56.95</f>
        <v>70.850000000000009</v>
      </c>
      <c r="D55" s="7" t="s">
        <v>347</v>
      </c>
      <c r="I55" s="7">
        <v>6.45</v>
      </c>
      <c r="J55" s="7">
        <v>7</v>
      </c>
      <c r="K55" s="7">
        <v>7.1</v>
      </c>
      <c r="L55" s="7">
        <v>6.95</v>
      </c>
      <c r="M55" s="7">
        <v>6.7</v>
      </c>
      <c r="N55" s="7">
        <v>7.05</v>
      </c>
      <c r="O55" s="7">
        <v>7.3</v>
      </c>
      <c r="P55" s="7">
        <v>7.1</v>
      </c>
      <c r="Q55" s="7">
        <v>7.45</v>
      </c>
      <c r="Z55" s="7">
        <f t="shared" si="0"/>
        <v>63.099999999999994</v>
      </c>
      <c r="AA55" s="7">
        <f t="shared" si="2"/>
        <v>0.89061397318278035</v>
      </c>
    </row>
    <row r="56" spans="1:27" s="7" customFormat="1">
      <c r="A56" s="35">
        <v>46038</v>
      </c>
      <c r="B56" s="200">
        <v>23</v>
      </c>
      <c r="C56" s="37">
        <f>12.95+66.5</f>
        <v>79.45</v>
      </c>
      <c r="D56" s="134" t="s">
        <v>347</v>
      </c>
      <c r="I56" s="7">
        <v>5.85</v>
      </c>
      <c r="J56" s="7">
        <v>6.3</v>
      </c>
      <c r="K56" s="7">
        <v>7.5</v>
      </c>
      <c r="L56" s="7">
        <v>5.0999999999999996</v>
      </c>
      <c r="M56" s="7">
        <v>6.35</v>
      </c>
      <c r="N56" s="7">
        <v>6.3</v>
      </c>
      <c r="O56" s="7">
        <v>6.2</v>
      </c>
      <c r="P56" s="7">
        <v>7.2</v>
      </c>
      <c r="Q56" s="7">
        <v>7</v>
      </c>
      <c r="R56" s="7">
        <v>6.95</v>
      </c>
      <c r="Z56" s="7">
        <f t="shared" si="0"/>
        <v>64.75</v>
      </c>
      <c r="AA56" s="7">
        <f t="shared" si="2"/>
        <v>0.81497797356828194</v>
      </c>
    </row>
    <row r="57" spans="1:27" s="7" customFormat="1">
      <c r="A57" s="35">
        <v>46039</v>
      </c>
      <c r="B57" s="200">
        <v>24</v>
      </c>
      <c r="C57" s="37">
        <f>15.35+67.4</f>
        <v>82.75</v>
      </c>
      <c r="D57" s="7" t="s">
        <v>348</v>
      </c>
      <c r="F57" s="7">
        <v>657.5</v>
      </c>
      <c r="I57" s="7">
        <v>7</v>
      </c>
      <c r="J57" s="7">
        <v>7.15</v>
      </c>
      <c r="K57" s="7">
        <v>6.35</v>
      </c>
      <c r="L57" s="7">
        <v>6.15</v>
      </c>
      <c r="M57" s="7">
        <v>7.7</v>
      </c>
      <c r="N57" s="7">
        <v>6.5</v>
      </c>
      <c r="O57" s="7">
        <v>6.6</v>
      </c>
      <c r="P57" s="7">
        <v>6.9</v>
      </c>
      <c r="Q57" s="7">
        <v>7.25</v>
      </c>
      <c r="R57" s="7">
        <v>6.25</v>
      </c>
      <c r="S57" s="7">
        <v>7.2</v>
      </c>
      <c r="Z57" s="7">
        <f t="shared" si="0"/>
        <v>75.05</v>
      </c>
      <c r="AA57" s="7">
        <f t="shared" si="2"/>
        <v>0.90694864048338364</v>
      </c>
    </row>
    <row r="58" spans="1:27" s="7" customFormat="1">
      <c r="A58" s="35">
        <v>46039</v>
      </c>
      <c r="B58" s="200">
        <v>25</v>
      </c>
      <c r="C58" s="37">
        <f>15.4+66.4</f>
        <v>81.800000000000011</v>
      </c>
      <c r="D58" s="7" t="s">
        <v>348</v>
      </c>
      <c r="F58" s="7">
        <v>660</v>
      </c>
      <c r="I58" s="7">
        <v>6.2</v>
      </c>
      <c r="J58" s="7">
        <v>5.95</v>
      </c>
      <c r="K58" s="7">
        <v>5.15</v>
      </c>
      <c r="L58" s="7">
        <v>6.35</v>
      </c>
      <c r="M58" s="7">
        <v>5.7</v>
      </c>
      <c r="N58" s="7">
        <v>6</v>
      </c>
      <c r="O58" s="7">
        <v>6.15</v>
      </c>
      <c r="P58" s="7">
        <v>7.05</v>
      </c>
      <c r="Q58" s="7">
        <v>6.15</v>
      </c>
      <c r="R58" s="7">
        <v>6.7</v>
      </c>
      <c r="S58" s="7">
        <v>6.85</v>
      </c>
      <c r="T58" s="7">
        <v>8.3000000000000007</v>
      </c>
      <c r="Z58" s="7">
        <f t="shared" si="0"/>
        <v>76.549999999999983</v>
      </c>
      <c r="AA58" s="7">
        <f t="shared" si="2"/>
        <v>0.93581907090464511</v>
      </c>
    </row>
    <row r="59" spans="1:27" s="7" customFormat="1">
      <c r="A59" s="35">
        <v>46041</v>
      </c>
      <c r="B59" s="200">
        <v>26</v>
      </c>
      <c r="C59" s="37">
        <f>15+62.3</f>
        <v>77.3</v>
      </c>
      <c r="D59" s="7" t="s">
        <v>348</v>
      </c>
      <c r="I59" s="7">
        <v>6.35</v>
      </c>
      <c r="J59" s="7">
        <v>6.15</v>
      </c>
      <c r="K59" s="7">
        <v>6.6</v>
      </c>
      <c r="L59" s="7">
        <v>6.5</v>
      </c>
      <c r="M59" s="7">
        <v>6.4</v>
      </c>
      <c r="N59" s="7">
        <v>6.65</v>
      </c>
      <c r="O59" s="7">
        <v>6.8</v>
      </c>
      <c r="P59" s="7">
        <v>5.95</v>
      </c>
      <c r="Q59" s="7">
        <v>7.8</v>
      </c>
      <c r="R59" s="7">
        <v>6.8</v>
      </c>
      <c r="S59" s="7">
        <v>6.8</v>
      </c>
      <c r="Z59" s="7">
        <f t="shared" si="0"/>
        <v>72.8</v>
      </c>
      <c r="AA59" s="7">
        <f t="shared" si="2"/>
        <v>0.94178525226390686</v>
      </c>
    </row>
    <row r="60" spans="1:27" s="7" customFormat="1">
      <c r="A60" s="35">
        <v>46041</v>
      </c>
      <c r="B60" s="200">
        <v>27</v>
      </c>
      <c r="C60" s="37">
        <f>15+59.8</f>
        <v>74.8</v>
      </c>
      <c r="D60" s="7" t="s">
        <v>349</v>
      </c>
      <c r="I60" s="7">
        <v>6.6</v>
      </c>
      <c r="J60" s="7">
        <v>6.75</v>
      </c>
      <c r="K60" s="7">
        <v>6.6</v>
      </c>
      <c r="L60" s="7">
        <v>6</v>
      </c>
      <c r="M60" s="7">
        <v>6.85</v>
      </c>
      <c r="N60" s="7">
        <v>6.65</v>
      </c>
      <c r="O60" s="7">
        <v>6.05</v>
      </c>
      <c r="P60" s="7">
        <v>6.5</v>
      </c>
      <c r="Q60" s="7">
        <v>6.2</v>
      </c>
      <c r="R60" s="7">
        <v>6.75</v>
      </c>
      <c r="S60" s="7">
        <v>6.2</v>
      </c>
      <c r="Z60" s="7">
        <f t="shared" si="0"/>
        <v>71.149999999999991</v>
      </c>
      <c r="AA60" s="7">
        <f t="shared" si="2"/>
        <v>0.9512032085561497</v>
      </c>
    </row>
    <row r="61" spans="1:27" s="7" customFormat="1">
      <c r="A61" s="35">
        <v>46042</v>
      </c>
      <c r="B61" s="200">
        <v>28</v>
      </c>
      <c r="C61" s="37">
        <f>0+59.65</f>
        <v>59.65</v>
      </c>
      <c r="D61" s="7" t="s">
        <v>348</v>
      </c>
      <c r="I61" s="7">
        <v>6.1</v>
      </c>
      <c r="J61" s="7">
        <v>5.6</v>
      </c>
      <c r="K61" s="7">
        <v>5.8</v>
      </c>
      <c r="L61" s="7">
        <v>6.95</v>
      </c>
      <c r="M61" s="7">
        <v>6.45</v>
      </c>
      <c r="N61" s="7">
        <v>7.5</v>
      </c>
      <c r="O61" s="7">
        <v>6.4</v>
      </c>
      <c r="P61" s="7">
        <v>6.35</v>
      </c>
      <c r="Q61" s="7">
        <v>7.15</v>
      </c>
      <c r="R61" s="7">
        <v>7.2</v>
      </c>
      <c r="S61" s="7">
        <v>6.2</v>
      </c>
      <c r="Z61" s="7">
        <f t="shared" si="0"/>
        <v>71.7</v>
      </c>
      <c r="AA61" s="7">
        <f t="shared" si="2"/>
        <v>1.2020117351215425</v>
      </c>
    </row>
    <row r="62" spans="1:27" s="7" customFormat="1">
      <c r="A62" s="35">
        <v>46042</v>
      </c>
      <c r="B62" s="200">
        <v>29</v>
      </c>
      <c r="C62" s="37">
        <f>15+65.25</f>
        <v>80.25</v>
      </c>
      <c r="D62" s="7" t="s">
        <v>350</v>
      </c>
      <c r="F62" s="7">
        <v>750</v>
      </c>
      <c r="I62" s="7">
        <v>6.6</v>
      </c>
      <c r="J62" s="7">
        <v>6.8</v>
      </c>
      <c r="K62" s="7">
        <v>6.55</v>
      </c>
      <c r="L62" s="7">
        <v>7.6</v>
      </c>
      <c r="M62" s="7">
        <v>7.95</v>
      </c>
      <c r="N62" s="7">
        <v>7.35</v>
      </c>
      <c r="O62" s="7">
        <v>7.3</v>
      </c>
      <c r="P62" s="7">
        <v>7.55</v>
      </c>
      <c r="Q62" s="7">
        <v>7.35</v>
      </c>
      <c r="R62" s="7">
        <v>7.4</v>
      </c>
      <c r="S62" s="7">
        <v>7.5</v>
      </c>
      <c r="Z62" s="7">
        <f t="shared" si="0"/>
        <v>79.95</v>
      </c>
      <c r="AA62" s="7">
        <f t="shared" si="2"/>
        <v>0.99626168224299072</v>
      </c>
    </row>
    <row r="63" spans="1:27" s="7" customFormat="1">
      <c r="A63" s="35">
        <v>46042</v>
      </c>
      <c r="B63" s="200">
        <v>30</v>
      </c>
      <c r="C63" s="37">
        <f>15+63</f>
        <v>78</v>
      </c>
      <c r="D63" s="7" t="s">
        <v>350</v>
      </c>
      <c r="F63" s="7">
        <v>750</v>
      </c>
      <c r="I63" s="7">
        <v>4.5999999999999996</v>
      </c>
      <c r="J63" s="7">
        <v>5.95</v>
      </c>
      <c r="K63" s="7">
        <v>2.4500000000000002</v>
      </c>
      <c r="L63" s="7">
        <v>5.4</v>
      </c>
      <c r="M63" s="7">
        <v>4.9000000000000004</v>
      </c>
      <c r="N63" s="7">
        <v>5.05</v>
      </c>
      <c r="O63" s="7">
        <v>5.65</v>
      </c>
      <c r="P63" s="7">
        <v>5.45</v>
      </c>
      <c r="Q63" s="7">
        <v>4.95</v>
      </c>
      <c r="R63" s="7">
        <v>5.45</v>
      </c>
      <c r="S63" s="7">
        <v>4.75</v>
      </c>
      <c r="T63" s="7">
        <v>5.5</v>
      </c>
      <c r="U63" s="7">
        <v>5.8</v>
      </c>
      <c r="V63" s="7">
        <v>5.8</v>
      </c>
      <c r="W63" s="7">
        <v>6.15</v>
      </c>
      <c r="Z63" s="7">
        <f t="shared" si="0"/>
        <v>77.850000000000009</v>
      </c>
      <c r="AA63" s="7">
        <f t="shared" si="2"/>
        <v>0.99807692307692319</v>
      </c>
    </row>
    <row r="64" spans="1:27" s="7" customFormat="1">
      <c r="A64" s="35">
        <v>46042</v>
      </c>
      <c r="B64" s="200">
        <v>31</v>
      </c>
      <c r="C64" s="37">
        <f>18+50</f>
        <v>68</v>
      </c>
      <c r="D64" s="7" t="s">
        <v>350</v>
      </c>
      <c r="F64" s="7">
        <v>750</v>
      </c>
      <c r="I64" s="7">
        <v>5.05</v>
      </c>
      <c r="J64" s="7">
        <v>5.05</v>
      </c>
      <c r="K64" s="7">
        <v>4.7</v>
      </c>
      <c r="L64" s="7">
        <v>5.0999999999999996</v>
      </c>
      <c r="M64" s="7">
        <v>5.15</v>
      </c>
      <c r="N64" s="7">
        <v>5.55</v>
      </c>
      <c r="O64" s="7">
        <v>4.95</v>
      </c>
      <c r="P64" s="7">
        <v>4.8</v>
      </c>
      <c r="Q64" s="7">
        <v>5.15</v>
      </c>
      <c r="R64" s="7">
        <v>5</v>
      </c>
      <c r="S64" s="7">
        <v>5.15</v>
      </c>
      <c r="T64" s="7">
        <v>5.15</v>
      </c>
      <c r="U64" s="7">
        <v>5.2</v>
      </c>
      <c r="V64" s="7">
        <v>5.8</v>
      </c>
      <c r="Z64" s="7">
        <f t="shared" si="0"/>
        <v>71.799999999999983</v>
      </c>
      <c r="AA64" s="7">
        <f t="shared" si="2"/>
        <v>1.0558823529411763</v>
      </c>
    </row>
    <row r="65" spans="1:28" s="7" customFormat="1">
      <c r="A65" s="35">
        <v>46043</v>
      </c>
      <c r="B65" s="200">
        <v>32</v>
      </c>
      <c r="C65" s="37">
        <v>68</v>
      </c>
      <c r="D65" s="7">
        <v>160126</v>
      </c>
      <c r="F65" s="7">
        <v>668</v>
      </c>
      <c r="I65" s="7">
        <v>5.0999999999999996</v>
      </c>
      <c r="J65" s="7">
        <v>5.55</v>
      </c>
      <c r="K65" s="7">
        <v>2.25</v>
      </c>
      <c r="L65" s="7">
        <v>4.95</v>
      </c>
      <c r="M65" s="7">
        <v>4.8499999999999996</v>
      </c>
      <c r="N65" s="7">
        <v>4.5999999999999996</v>
      </c>
      <c r="O65" s="7">
        <v>5.35</v>
      </c>
      <c r="P65" s="7">
        <v>5.0999999999999996</v>
      </c>
      <c r="Q65" s="7">
        <v>4.95</v>
      </c>
      <c r="R65" s="7">
        <v>5.15</v>
      </c>
      <c r="S65" s="7">
        <v>4.6500000000000004</v>
      </c>
      <c r="T65" s="7">
        <v>5.6</v>
      </c>
      <c r="U65" s="7">
        <v>5.35</v>
      </c>
      <c r="V65" s="7">
        <v>4.6500000000000004</v>
      </c>
      <c r="Z65" s="7">
        <f t="shared" si="0"/>
        <v>68.100000000000009</v>
      </c>
      <c r="AA65" s="7">
        <f t="shared" si="2"/>
        <v>1.0014705882352943</v>
      </c>
    </row>
    <row r="66" spans="1:28" s="7" customFormat="1">
      <c r="A66" s="35">
        <v>46043</v>
      </c>
      <c r="B66" s="200">
        <v>33</v>
      </c>
      <c r="C66" s="37">
        <f>54+15-5.75</f>
        <v>63.25</v>
      </c>
      <c r="D66" s="7" t="s">
        <v>351</v>
      </c>
      <c r="F66" s="7">
        <v>630</v>
      </c>
      <c r="I66" s="7">
        <v>5.7</v>
      </c>
      <c r="J66" s="7">
        <v>5.7</v>
      </c>
      <c r="K66" s="7">
        <v>6.25</v>
      </c>
      <c r="L66" s="7">
        <v>6.7</v>
      </c>
      <c r="M66" s="7">
        <v>6.25</v>
      </c>
      <c r="N66" s="7">
        <v>5.85</v>
      </c>
      <c r="O66" s="7">
        <v>6.2</v>
      </c>
      <c r="P66" s="7">
        <v>6.6</v>
      </c>
      <c r="Q66" s="7">
        <v>6.6</v>
      </c>
      <c r="R66" s="7">
        <v>6.05</v>
      </c>
      <c r="S66" s="7">
        <v>6.15</v>
      </c>
      <c r="Z66" s="7" t="s">
        <v>409</v>
      </c>
      <c r="AA66" s="7" t="e">
        <f t="shared" si="2"/>
        <v>#VALUE!</v>
      </c>
    </row>
    <row r="67" spans="1:28" s="7" customFormat="1">
      <c r="A67" s="35">
        <v>46043</v>
      </c>
      <c r="B67" s="200">
        <v>34</v>
      </c>
      <c r="C67" s="37">
        <f>15.7+56.6-1.75</f>
        <v>70.55</v>
      </c>
      <c r="D67" s="7" t="s">
        <v>352</v>
      </c>
      <c r="F67" s="7">
        <v>740</v>
      </c>
      <c r="I67" s="7">
        <v>5.9</v>
      </c>
      <c r="J67" s="7">
        <v>5.45</v>
      </c>
      <c r="K67" s="7">
        <v>4.8</v>
      </c>
      <c r="L67" s="7">
        <v>5.75</v>
      </c>
      <c r="M67" s="7">
        <v>6.3</v>
      </c>
      <c r="N67" s="7">
        <v>6.15</v>
      </c>
      <c r="O67" s="7">
        <v>6.1</v>
      </c>
      <c r="P67" s="7">
        <v>6.6</v>
      </c>
      <c r="Q67" s="7">
        <v>5.9</v>
      </c>
      <c r="R67" s="7">
        <v>5.85</v>
      </c>
      <c r="S67" s="7">
        <v>6.3</v>
      </c>
      <c r="T67" s="7">
        <v>6.7</v>
      </c>
      <c r="Z67" s="7">
        <f t="shared" ref="Z67:Z102" si="3">SUM(I67:Y67)</f>
        <v>71.800000000000011</v>
      </c>
      <c r="AA67" s="7">
        <f t="shared" si="2"/>
        <v>1.0177179305457125</v>
      </c>
    </row>
    <row r="68" spans="1:28" s="7" customFormat="1">
      <c r="A68" s="35">
        <v>46043</v>
      </c>
      <c r="B68" s="200">
        <v>35</v>
      </c>
      <c r="C68" s="37">
        <f>15+56.6</f>
        <v>71.599999999999994</v>
      </c>
      <c r="D68" s="123" t="s">
        <v>352</v>
      </c>
      <c r="F68" s="7">
        <v>710</v>
      </c>
      <c r="I68" s="7">
        <v>6.2</v>
      </c>
      <c r="J68" s="7">
        <v>5.7</v>
      </c>
      <c r="K68" s="7">
        <v>6.2</v>
      </c>
      <c r="L68" s="7">
        <v>6.65</v>
      </c>
      <c r="M68" s="7">
        <v>6.3</v>
      </c>
      <c r="N68" s="7">
        <v>6.55</v>
      </c>
      <c r="O68" s="7">
        <v>6.4</v>
      </c>
      <c r="P68" s="7">
        <v>5.75</v>
      </c>
      <c r="Q68" s="7">
        <v>5.9</v>
      </c>
      <c r="R68" s="7">
        <v>6.25</v>
      </c>
      <c r="S68" s="7">
        <v>5.65</v>
      </c>
      <c r="Z68" s="7">
        <f t="shared" si="3"/>
        <v>67.55</v>
      </c>
      <c r="AA68" s="7">
        <f t="shared" si="2"/>
        <v>0.94343575418994419</v>
      </c>
    </row>
    <row r="69" spans="1:28" s="7" customFormat="1">
      <c r="A69" s="129">
        <v>46043</v>
      </c>
      <c r="B69" s="200">
        <v>36</v>
      </c>
      <c r="C69" s="130">
        <f>15+62.95-3.7</f>
        <v>74.25</v>
      </c>
      <c r="D69" s="131" t="s">
        <v>400</v>
      </c>
      <c r="E69" s="132"/>
      <c r="F69" s="132">
        <v>771</v>
      </c>
      <c r="G69" s="132"/>
      <c r="H69" s="132"/>
      <c r="I69" s="132">
        <v>6.9</v>
      </c>
      <c r="J69" s="132">
        <v>6.2</v>
      </c>
      <c r="K69" s="132">
        <v>6.15</v>
      </c>
      <c r="L69" s="132">
        <v>5.75</v>
      </c>
      <c r="M69" s="132">
        <v>6.05</v>
      </c>
      <c r="N69" s="132">
        <v>5.85</v>
      </c>
      <c r="O69" s="132">
        <v>6.55</v>
      </c>
      <c r="P69" s="132">
        <v>6.05</v>
      </c>
      <c r="Q69" s="132">
        <v>5.65</v>
      </c>
      <c r="R69" s="132">
        <v>6.85</v>
      </c>
      <c r="S69" s="132">
        <v>5.5</v>
      </c>
      <c r="T69" s="132">
        <v>6.7</v>
      </c>
      <c r="U69" s="132"/>
      <c r="V69" s="132"/>
      <c r="W69" s="132"/>
      <c r="X69" s="132"/>
      <c r="Y69" s="132"/>
      <c r="Z69" s="7">
        <f t="shared" si="3"/>
        <v>74.2</v>
      </c>
      <c r="AA69" s="7">
        <f t="shared" si="2"/>
        <v>0.9993265993265994</v>
      </c>
      <c r="AB69" s="132"/>
    </row>
    <row r="70" spans="1:28" s="7" customFormat="1">
      <c r="A70" s="35">
        <v>46044</v>
      </c>
      <c r="B70" s="200">
        <v>37</v>
      </c>
      <c r="C70" s="37">
        <f>60+8.5+15</f>
        <v>83.5</v>
      </c>
      <c r="D70" s="114" t="s">
        <v>401</v>
      </c>
      <c r="F70" s="7">
        <v>760</v>
      </c>
      <c r="I70" s="37">
        <v>2.2000000000000002</v>
      </c>
      <c r="J70" s="37">
        <v>5.8</v>
      </c>
      <c r="K70" s="37">
        <v>6.45</v>
      </c>
      <c r="L70" s="37">
        <v>5.8</v>
      </c>
      <c r="M70" s="37">
        <v>5.75</v>
      </c>
      <c r="N70" s="37">
        <v>6.25</v>
      </c>
      <c r="O70" s="37">
        <v>6.15</v>
      </c>
      <c r="P70" s="37">
        <v>6.05</v>
      </c>
      <c r="Q70" s="37">
        <v>5.8</v>
      </c>
      <c r="R70" s="37">
        <v>5.8</v>
      </c>
      <c r="S70" s="37">
        <v>6.1</v>
      </c>
      <c r="T70" s="37">
        <v>6.1</v>
      </c>
      <c r="U70" s="37">
        <v>6.05</v>
      </c>
      <c r="Z70" s="7">
        <f t="shared" si="3"/>
        <v>74.299999999999983</v>
      </c>
      <c r="AA70" s="7">
        <f t="shared" si="2"/>
        <v>0.88982035928143688</v>
      </c>
    </row>
    <row r="71" spans="1:28" s="7" customFormat="1">
      <c r="A71" s="35">
        <v>46044</v>
      </c>
      <c r="B71" s="200">
        <v>38</v>
      </c>
      <c r="C71" s="37">
        <f>19.8+45.5+15</f>
        <v>80.3</v>
      </c>
      <c r="D71" s="114" t="s">
        <v>402</v>
      </c>
      <c r="F71" s="7">
        <v>800</v>
      </c>
      <c r="I71" s="37">
        <v>3.2</v>
      </c>
      <c r="J71" s="37">
        <v>5.6</v>
      </c>
      <c r="K71" s="37">
        <v>6.2</v>
      </c>
      <c r="L71" s="37">
        <v>5.9</v>
      </c>
      <c r="M71" s="37">
        <v>6.1</v>
      </c>
      <c r="N71" s="37">
        <v>6</v>
      </c>
      <c r="O71" s="37">
        <v>6.2</v>
      </c>
      <c r="P71" s="37">
        <v>5.45</v>
      </c>
      <c r="Q71" s="37">
        <v>6.15</v>
      </c>
      <c r="R71" s="37">
        <v>5.7</v>
      </c>
      <c r="S71" s="37">
        <v>6.35</v>
      </c>
      <c r="T71" s="37">
        <v>5.55</v>
      </c>
      <c r="Z71" s="7">
        <f t="shared" si="3"/>
        <v>68.400000000000006</v>
      </c>
      <c r="AA71" s="7">
        <f t="shared" si="2"/>
        <v>0.85180572851805736</v>
      </c>
    </row>
    <row r="72" spans="1:28" s="7" customFormat="1">
      <c r="A72" s="35">
        <v>46044</v>
      </c>
      <c r="B72" s="200">
        <v>39</v>
      </c>
      <c r="C72" s="37">
        <f>15+67.3</f>
        <v>82.3</v>
      </c>
      <c r="D72" s="114" t="s">
        <v>403</v>
      </c>
      <c r="F72" s="7">
        <v>620</v>
      </c>
      <c r="I72" s="37">
        <v>6.8</v>
      </c>
      <c r="J72" s="37">
        <v>5.85</v>
      </c>
      <c r="K72" s="37">
        <v>5.55</v>
      </c>
      <c r="L72" s="37">
        <v>5.85</v>
      </c>
      <c r="M72" s="37">
        <v>5.8</v>
      </c>
      <c r="N72" s="37">
        <v>6.1</v>
      </c>
      <c r="O72" s="37">
        <v>6.4</v>
      </c>
      <c r="P72" s="37">
        <v>5.5</v>
      </c>
      <c r="Q72" s="37">
        <v>5.65</v>
      </c>
      <c r="R72" s="37">
        <v>6.05</v>
      </c>
      <c r="S72" s="37">
        <v>6.4</v>
      </c>
      <c r="T72" s="37">
        <v>6.45</v>
      </c>
      <c r="U72" s="37">
        <v>5.6</v>
      </c>
      <c r="Z72" s="7">
        <f t="shared" si="3"/>
        <v>77.999999999999986</v>
      </c>
      <c r="AA72" s="7">
        <f t="shared" si="2"/>
        <v>0.94775212636695005</v>
      </c>
    </row>
    <row r="73" spans="1:28" s="7" customFormat="1">
      <c r="A73" s="35">
        <v>46044</v>
      </c>
      <c r="B73" s="200">
        <v>40</v>
      </c>
      <c r="C73" s="37">
        <f>15+63.8</f>
        <v>78.8</v>
      </c>
      <c r="D73" s="114" t="s">
        <v>404</v>
      </c>
      <c r="I73" s="37">
        <v>6.25</v>
      </c>
      <c r="J73" s="37">
        <v>6.45</v>
      </c>
      <c r="K73" s="37">
        <v>6.4</v>
      </c>
      <c r="L73" s="37">
        <v>6.6</v>
      </c>
      <c r="M73" s="37">
        <v>6.65</v>
      </c>
      <c r="N73" s="37">
        <v>6.55</v>
      </c>
      <c r="O73" s="37">
        <v>6.3</v>
      </c>
      <c r="P73" s="37">
        <v>6.5</v>
      </c>
      <c r="Q73" s="37">
        <v>6.2</v>
      </c>
      <c r="R73" s="37">
        <v>5.7</v>
      </c>
      <c r="S73" s="37">
        <v>4.75</v>
      </c>
      <c r="Z73" s="7">
        <f t="shared" si="3"/>
        <v>68.349999999999994</v>
      </c>
      <c r="AA73" s="7">
        <f t="shared" si="2"/>
        <v>0.86738578680203038</v>
      </c>
    </row>
    <row r="74" spans="1:28" s="7" customFormat="1">
      <c r="A74" s="35">
        <v>46045</v>
      </c>
      <c r="B74" s="200">
        <v>41</v>
      </c>
      <c r="C74" s="37">
        <f>15+72.9</f>
        <v>87.9</v>
      </c>
      <c r="D74" s="37">
        <v>6</v>
      </c>
      <c r="F74" s="7">
        <v>800</v>
      </c>
      <c r="I74" s="37">
        <v>6.2</v>
      </c>
      <c r="J74" s="37">
        <v>6.7</v>
      </c>
      <c r="K74" s="37">
        <v>5.65</v>
      </c>
      <c r="L74" s="37">
        <v>6.35</v>
      </c>
      <c r="M74" s="37">
        <v>5.25</v>
      </c>
      <c r="N74" s="7">
        <v>5.35</v>
      </c>
      <c r="O74" s="7">
        <v>5.95</v>
      </c>
      <c r="P74" s="7">
        <v>6.45</v>
      </c>
      <c r="Q74" s="7">
        <v>5.9</v>
      </c>
      <c r="R74" s="37">
        <v>5.2</v>
      </c>
      <c r="S74" s="37">
        <v>6</v>
      </c>
      <c r="T74" s="37">
        <v>6.5</v>
      </c>
      <c r="U74" s="37">
        <v>5.85</v>
      </c>
      <c r="Z74" s="7">
        <f t="shared" si="3"/>
        <v>77.349999999999994</v>
      </c>
      <c r="AA74" s="7">
        <f t="shared" si="2"/>
        <v>0.87997724687144474</v>
      </c>
    </row>
    <row r="75" spans="1:28" s="7" customFormat="1">
      <c r="A75" s="35">
        <v>46045</v>
      </c>
      <c r="B75" s="200">
        <v>42</v>
      </c>
      <c r="C75" s="37">
        <f>15+64.8</f>
        <v>79.8</v>
      </c>
      <c r="D75" s="37"/>
      <c r="F75" s="7">
        <v>790.5</v>
      </c>
      <c r="I75" s="37">
        <v>5.95</v>
      </c>
      <c r="J75" s="37">
        <v>6.95</v>
      </c>
      <c r="K75" s="37">
        <v>6.35</v>
      </c>
      <c r="L75" s="7">
        <v>5.6</v>
      </c>
      <c r="M75" s="7">
        <v>3.5</v>
      </c>
      <c r="N75" s="7">
        <v>6.1</v>
      </c>
      <c r="O75" s="7">
        <v>5.9</v>
      </c>
      <c r="P75" s="7">
        <v>6.2</v>
      </c>
      <c r="Q75" s="7">
        <v>6.35</v>
      </c>
      <c r="R75" s="37">
        <v>7.05</v>
      </c>
      <c r="S75" s="37">
        <v>5.8</v>
      </c>
      <c r="T75" s="37">
        <v>7.1</v>
      </c>
      <c r="U75" s="37">
        <v>6.05</v>
      </c>
      <c r="Z75" s="7">
        <f t="shared" si="3"/>
        <v>78.899999999999991</v>
      </c>
      <c r="AA75" s="7">
        <f t="shared" si="2"/>
        <v>0.98872180451127811</v>
      </c>
    </row>
    <row r="76" spans="1:28" s="7" customFormat="1">
      <c r="A76" s="35">
        <v>46045</v>
      </c>
      <c r="B76" s="200">
        <v>43</v>
      </c>
      <c r="C76" s="37">
        <f>15+55.2</f>
        <v>70.2</v>
      </c>
      <c r="D76" s="37"/>
      <c r="F76" s="7">
        <v>690</v>
      </c>
      <c r="I76" s="37">
        <v>6.1</v>
      </c>
      <c r="J76" s="37">
        <v>6.5</v>
      </c>
      <c r="K76" s="37">
        <v>7</v>
      </c>
      <c r="L76" s="37">
        <v>6.9</v>
      </c>
      <c r="M76" s="7">
        <v>6.55</v>
      </c>
      <c r="N76" s="7">
        <v>7.35</v>
      </c>
      <c r="O76" s="7">
        <v>6.4</v>
      </c>
      <c r="P76" s="7">
        <v>7.25</v>
      </c>
      <c r="Q76" s="7">
        <v>7.45</v>
      </c>
      <c r="R76" s="37">
        <v>6.45</v>
      </c>
      <c r="Z76" s="7">
        <f t="shared" si="3"/>
        <v>67.95</v>
      </c>
      <c r="AA76" s="7">
        <f t="shared" si="2"/>
        <v>0.96794871794871795</v>
      </c>
    </row>
    <row r="77" spans="1:28" s="150" customFormat="1">
      <c r="A77" s="148">
        <v>46046</v>
      </c>
      <c r="B77" s="202">
        <v>44</v>
      </c>
      <c r="C77" s="149">
        <v>70</v>
      </c>
      <c r="D77" s="149">
        <v>21</v>
      </c>
      <c r="F77" s="150">
        <v>700</v>
      </c>
      <c r="I77" s="149">
        <v>6.45</v>
      </c>
      <c r="J77" s="149">
        <v>6.65</v>
      </c>
      <c r="K77" s="149">
        <v>6.6</v>
      </c>
      <c r="L77" s="150">
        <v>6.8</v>
      </c>
      <c r="M77" s="150">
        <v>7</v>
      </c>
      <c r="N77" s="150">
        <v>6.2</v>
      </c>
      <c r="O77" s="150">
        <v>2.75</v>
      </c>
      <c r="P77" s="150">
        <v>2.7</v>
      </c>
      <c r="Q77" s="150">
        <v>2.75</v>
      </c>
      <c r="R77" s="149">
        <v>2.85</v>
      </c>
      <c r="S77" s="149">
        <v>2.9</v>
      </c>
      <c r="T77" s="149">
        <v>2.85</v>
      </c>
      <c r="U77" s="149">
        <v>2.6</v>
      </c>
      <c r="V77" s="149">
        <v>2.75</v>
      </c>
      <c r="W77" s="149">
        <v>2.75</v>
      </c>
      <c r="X77" s="149">
        <v>2.75</v>
      </c>
      <c r="Y77" s="149">
        <v>2.7</v>
      </c>
      <c r="Z77" s="150">
        <f t="shared" si="3"/>
        <v>70.050000000000011</v>
      </c>
      <c r="AA77" s="150">
        <f t="shared" si="2"/>
        <v>1.0007142857142859</v>
      </c>
    </row>
    <row r="78" spans="1:28" s="150" customFormat="1">
      <c r="A78" s="148">
        <v>46046</v>
      </c>
      <c r="B78" s="202">
        <v>45</v>
      </c>
      <c r="C78" s="149">
        <v>61.85</v>
      </c>
      <c r="D78" s="149">
        <v>21</v>
      </c>
      <c r="F78" s="150">
        <v>680</v>
      </c>
      <c r="I78" s="149">
        <v>7.65</v>
      </c>
      <c r="J78" s="149">
        <v>6.5</v>
      </c>
      <c r="K78" s="149">
        <v>6</v>
      </c>
      <c r="L78" s="149">
        <v>7.15</v>
      </c>
      <c r="M78" s="149">
        <v>7.75</v>
      </c>
      <c r="N78" s="149">
        <v>7.35</v>
      </c>
      <c r="O78" s="149">
        <v>7.3</v>
      </c>
      <c r="P78" s="150">
        <v>6.55</v>
      </c>
      <c r="Q78" s="150">
        <v>6.9</v>
      </c>
      <c r="Z78" s="150">
        <f t="shared" si="3"/>
        <v>63.149999999999991</v>
      </c>
      <c r="AA78" s="150">
        <f t="shared" si="2"/>
        <v>1.0210185933710589</v>
      </c>
    </row>
    <row r="79" spans="1:28" s="150" customFormat="1">
      <c r="A79" s="152">
        <v>46049</v>
      </c>
      <c r="B79" s="202">
        <v>46</v>
      </c>
      <c r="C79" s="153">
        <v>64.3</v>
      </c>
      <c r="D79" s="153">
        <v>21</v>
      </c>
      <c r="E79" s="153"/>
      <c r="F79" s="153"/>
      <c r="G79" s="153"/>
      <c r="H79" s="153"/>
      <c r="I79" s="153">
        <v>7.25</v>
      </c>
      <c r="J79" s="153">
        <v>6.85</v>
      </c>
      <c r="K79" s="153">
        <v>7.6</v>
      </c>
      <c r="L79" s="153">
        <v>7.4</v>
      </c>
      <c r="M79" s="153">
        <v>7.95</v>
      </c>
      <c r="N79" s="153">
        <v>6.85</v>
      </c>
      <c r="O79" s="153">
        <v>6.75</v>
      </c>
      <c r="P79" s="153">
        <v>7.05</v>
      </c>
      <c r="Q79" s="153"/>
      <c r="Z79" s="150">
        <f t="shared" si="3"/>
        <v>57.7</v>
      </c>
      <c r="AA79" s="150">
        <f t="shared" si="2"/>
        <v>0.89735614307931577</v>
      </c>
    </row>
    <row r="80" spans="1:28" s="150" customFormat="1">
      <c r="A80" s="152">
        <v>46049</v>
      </c>
      <c r="B80" s="202">
        <v>47</v>
      </c>
      <c r="C80" s="153">
        <v>65</v>
      </c>
      <c r="D80" s="153">
        <v>21</v>
      </c>
      <c r="E80" s="153"/>
      <c r="F80" s="153">
        <v>650</v>
      </c>
      <c r="G80" s="153"/>
      <c r="H80" s="153"/>
      <c r="I80" s="153">
        <v>7.4</v>
      </c>
      <c r="J80" s="153">
        <v>8.1</v>
      </c>
      <c r="K80" s="153">
        <v>7.35</v>
      </c>
      <c r="L80" s="153">
        <v>6.5</v>
      </c>
      <c r="M80" s="153">
        <v>7.35</v>
      </c>
      <c r="N80" s="153">
        <v>7.4</v>
      </c>
      <c r="O80" s="153">
        <v>7.7</v>
      </c>
      <c r="P80" s="153">
        <v>7.5</v>
      </c>
      <c r="Q80" s="153">
        <v>2</v>
      </c>
      <c r="Z80" s="150">
        <f t="shared" si="3"/>
        <v>61.300000000000004</v>
      </c>
      <c r="AA80" s="150">
        <f t="shared" si="2"/>
        <v>0.94307692307692315</v>
      </c>
    </row>
    <row r="81" spans="1:27" s="150" customFormat="1">
      <c r="A81" s="152">
        <v>46049</v>
      </c>
      <c r="B81" s="202">
        <v>48</v>
      </c>
      <c r="C81" s="153">
        <v>65</v>
      </c>
      <c r="D81" s="153">
        <v>21</v>
      </c>
      <c r="E81" s="153"/>
      <c r="F81" s="153">
        <v>650</v>
      </c>
      <c r="G81" s="153"/>
      <c r="H81" s="153"/>
      <c r="I81" s="153">
        <v>8.4</v>
      </c>
      <c r="J81" s="153">
        <v>7.35</v>
      </c>
      <c r="K81" s="153">
        <v>8.0500000000000007</v>
      </c>
      <c r="L81" s="153">
        <v>7.55</v>
      </c>
      <c r="M81" s="153">
        <v>8</v>
      </c>
      <c r="N81" s="153">
        <v>8.1</v>
      </c>
      <c r="O81" s="153">
        <v>7.8</v>
      </c>
      <c r="P81" s="153">
        <v>7.7</v>
      </c>
      <c r="Q81" s="153"/>
      <c r="Z81" s="150">
        <f t="shared" si="3"/>
        <v>62.95</v>
      </c>
      <c r="AA81" s="150">
        <f t="shared" si="2"/>
        <v>0.96846153846153848</v>
      </c>
    </row>
    <row r="82" spans="1:27" s="156" customFormat="1">
      <c r="A82" s="154">
        <v>46049</v>
      </c>
      <c r="B82" s="204">
        <v>49</v>
      </c>
      <c r="C82" s="155">
        <v>65</v>
      </c>
      <c r="D82" s="155">
        <v>22</v>
      </c>
      <c r="E82" s="155"/>
      <c r="F82" s="155">
        <v>650</v>
      </c>
      <c r="G82" s="155"/>
      <c r="H82" s="155"/>
      <c r="I82" s="155">
        <v>8.6</v>
      </c>
      <c r="J82" s="155">
        <v>7.4</v>
      </c>
      <c r="K82" s="155">
        <v>7.9</v>
      </c>
      <c r="L82" s="155">
        <v>8.1999999999999993</v>
      </c>
      <c r="M82" s="155">
        <v>7.45</v>
      </c>
      <c r="N82" s="155">
        <v>7.55</v>
      </c>
      <c r="O82" s="155">
        <v>7.2</v>
      </c>
      <c r="P82" s="155">
        <v>7.65</v>
      </c>
      <c r="Q82" s="155"/>
      <c r="Z82" s="156">
        <f t="shared" si="3"/>
        <v>61.949999999999996</v>
      </c>
      <c r="AA82" s="156">
        <f t="shared" si="2"/>
        <v>0.95307692307692304</v>
      </c>
    </row>
    <row r="83" spans="1:27" s="156" customFormat="1">
      <c r="A83" s="157">
        <v>46049</v>
      </c>
      <c r="B83" s="204">
        <v>50</v>
      </c>
      <c r="C83" s="155">
        <v>65</v>
      </c>
      <c r="D83" s="155">
        <v>22</v>
      </c>
      <c r="F83" s="156">
        <v>650</v>
      </c>
      <c r="I83" s="155">
        <v>7.5</v>
      </c>
      <c r="J83" s="155">
        <v>5.65</v>
      </c>
      <c r="K83" s="155">
        <v>7.75</v>
      </c>
      <c r="L83" s="155">
        <v>7.5</v>
      </c>
      <c r="M83" s="155">
        <v>7.4</v>
      </c>
      <c r="N83" s="155">
        <v>7.35</v>
      </c>
      <c r="O83" s="156">
        <v>7.55</v>
      </c>
      <c r="P83" s="156">
        <v>7.6</v>
      </c>
      <c r="Z83" s="156">
        <f t="shared" si="3"/>
        <v>58.3</v>
      </c>
      <c r="AA83" s="156">
        <f t="shared" si="2"/>
        <v>0.89692307692307693</v>
      </c>
    </row>
    <row r="84" spans="1:27" s="156" customFormat="1">
      <c r="A84" s="157">
        <v>46050</v>
      </c>
      <c r="B84" s="204">
        <v>51</v>
      </c>
      <c r="C84" s="155">
        <v>65</v>
      </c>
      <c r="D84" s="155">
        <v>22</v>
      </c>
      <c r="F84" s="156">
        <v>650</v>
      </c>
      <c r="I84" s="155">
        <v>7.1</v>
      </c>
      <c r="J84" s="155">
        <v>7.75</v>
      </c>
      <c r="K84" s="155">
        <v>4.5</v>
      </c>
      <c r="L84" s="155">
        <v>7.55</v>
      </c>
      <c r="M84" s="155">
        <v>6.65</v>
      </c>
      <c r="N84" s="155">
        <v>7.25</v>
      </c>
      <c r="O84" s="156">
        <v>7.15</v>
      </c>
      <c r="P84" s="156">
        <v>7.2</v>
      </c>
      <c r="Q84" s="156">
        <v>6.35</v>
      </c>
      <c r="Z84" s="156">
        <f t="shared" si="3"/>
        <v>61.500000000000007</v>
      </c>
      <c r="AA84" s="156">
        <f t="shared" si="2"/>
        <v>0.94615384615384623</v>
      </c>
    </row>
    <row r="85" spans="1:27" s="156" customFormat="1">
      <c r="A85" s="157">
        <v>46050</v>
      </c>
      <c r="B85" s="204">
        <v>52</v>
      </c>
      <c r="C85" s="155">
        <v>65</v>
      </c>
      <c r="D85" s="155">
        <v>22</v>
      </c>
      <c r="F85" s="156">
        <v>650</v>
      </c>
      <c r="I85" s="155">
        <v>2.65</v>
      </c>
      <c r="J85" s="155">
        <v>7.75</v>
      </c>
      <c r="K85" s="155">
        <v>6.85</v>
      </c>
      <c r="L85" s="155">
        <v>7.85</v>
      </c>
      <c r="M85" s="155">
        <v>8.1</v>
      </c>
      <c r="N85" s="155">
        <v>7.9</v>
      </c>
      <c r="O85" s="155">
        <v>7.45</v>
      </c>
      <c r="P85" s="156">
        <v>7.35</v>
      </c>
      <c r="Q85" s="156">
        <v>7.95</v>
      </c>
      <c r="Z85" s="156">
        <f t="shared" si="3"/>
        <v>63.850000000000009</v>
      </c>
      <c r="AA85" s="156">
        <f t="shared" si="2"/>
        <v>0.98230769230769244</v>
      </c>
    </row>
    <row r="86" spans="1:27" s="160" customFormat="1">
      <c r="A86" s="158">
        <v>46050</v>
      </c>
      <c r="B86" s="205">
        <v>53</v>
      </c>
      <c r="C86" s="159">
        <v>70</v>
      </c>
      <c r="D86" s="159">
        <v>23</v>
      </c>
      <c r="F86" s="160">
        <v>700</v>
      </c>
      <c r="I86" s="159">
        <v>8.1</v>
      </c>
      <c r="J86" s="159">
        <v>7.2</v>
      </c>
      <c r="K86" s="159">
        <v>7.45</v>
      </c>
      <c r="L86" s="159">
        <v>7.6</v>
      </c>
      <c r="M86" s="159">
        <v>7.95</v>
      </c>
      <c r="N86" s="159">
        <v>7.95</v>
      </c>
      <c r="O86" s="160">
        <v>8</v>
      </c>
      <c r="P86" s="160">
        <v>8.0500000000000007</v>
      </c>
      <c r="Q86" s="160">
        <v>7.05</v>
      </c>
      <c r="Z86" s="160">
        <f t="shared" si="3"/>
        <v>69.350000000000009</v>
      </c>
      <c r="AA86" s="160">
        <f t="shared" si="2"/>
        <v>0.99071428571428588</v>
      </c>
    </row>
    <row r="87" spans="1:27" s="160" customFormat="1">
      <c r="A87" s="158">
        <v>46050</v>
      </c>
      <c r="B87" s="205">
        <v>54</v>
      </c>
      <c r="C87" s="159">
        <v>70</v>
      </c>
      <c r="D87" s="159">
        <v>23</v>
      </c>
      <c r="F87" s="160">
        <v>700</v>
      </c>
      <c r="I87" s="159">
        <v>7.65</v>
      </c>
      <c r="J87" s="159">
        <v>7.95</v>
      </c>
      <c r="K87" s="159">
        <v>8</v>
      </c>
      <c r="L87" s="159">
        <v>3.2</v>
      </c>
      <c r="M87" s="159">
        <v>8.6999999999999993</v>
      </c>
      <c r="N87" s="159">
        <v>8</v>
      </c>
      <c r="O87" s="160">
        <v>8.4499999999999993</v>
      </c>
      <c r="P87" s="160">
        <v>7.1</v>
      </c>
      <c r="Q87" s="160">
        <v>7.5</v>
      </c>
      <c r="Z87" s="160">
        <f t="shared" si="3"/>
        <v>66.550000000000011</v>
      </c>
      <c r="AA87" s="160">
        <f t="shared" si="2"/>
        <v>0.95071428571428584</v>
      </c>
    </row>
    <row r="88" spans="1:27" s="160" customFormat="1">
      <c r="A88" s="158">
        <v>46050</v>
      </c>
      <c r="B88" s="205">
        <v>55</v>
      </c>
      <c r="C88" s="161">
        <v>70</v>
      </c>
      <c r="D88" s="161">
        <v>23</v>
      </c>
      <c r="F88" s="160">
        <v>700</v>
      </c>
      <c r="I88" s="161">
        <v>7.4</v>
      </c>
      <c r="J88" s="161">
        <v>6.8</v>
      </c>
      <c r="K88" s="161">
        <v>7.4</v>
      </c>
      <c r="L88" s="161">
        <v>7.6</v>
      </c>
      <c r="M88" s="161">
        <v>7.3</v>
      </c>
      <c r="N88" s="161">
        <v>7.65</v>
      </c>
      <c r="O88" s="161">
        <v>7.85</v>
      </c>
      <c r="P88" s="161">
        <v>7.65</v>
      </c>
      <c r="Q88" s="161">
        <v>7.35</v>
      </c>
      <c r="Z88" s="160">
        <f t="shared" si="3"/>
        <v>67</v>
      </c>
      <c r="AA88" s="160">
        <f t="shared" si="2"/>
        <v>0.95714285714285718</v>
      </c>
    </row>
    <row r="89" spans="1:27" s="160" customFormat="1">
      <c r="A89" s="158">
        <v>46050</v>
      </c>
      <c r="B89" s="205">
        <v>56</v>
      </c>
      <c r="C89" s="161">
        <v>70</v>
      </c>
      <c r="D89" s="161" t="s">
        <v>405</v>
      </c>
      <c r="F89" s="160">
        <v>700</v>
      </c>
      <c r="I89" s="161">
        <v>8</v>
      </c>
      <c r="J89" s="161">
        <v>7.75</v>
      </c>
      <c r="K89" s="161">
        <v>7.75</v>
      </c>
      <c r="L89" s="161">
        <v>8</v>
      </c>
      <c r="M89" s="161">
        <v>8.8000000000000007</v>
      </c>
      <c r="N89" s="161">
        <v>7.4</v>
      </c>
      <c r="O89" s="161">
        <v>7.75</v>
      </c>
      <c r="P89" s="161">
        <v>8.35</v>
      </c>
      <c r="Q89" s="161">
        <v>3.6</v>
      </c>
      <c r="Z89" s="160">
        <f t="shared" si="3"/>
        <v>67.399999999999991</v>
      </c>
      <c r="AA89" s="160">
        <f t="shared" si="2"/>
        <v>0.96285714285714274</v>
      </c>
    </row>
    <row r="90" spans="1:27" s="164" customFormat="1">
      <c r="A90" s="162">
        <v>46051</v>
      </c>
      <c r="B90" s="206">
        <v>57</v>
      </c>
      <c r="C90" s="163">
        <v>70</v>
      </c>
      <c r="D90" s="163">
        <v>240126</v>
      </c>
      <c r="F90" s="164">
        <v>700</v>
      </c>
      <c r="I90" s="163">
        <v>7.45</v>
      </c>
      <c r="J90" s="163">
        <v>7.25</v>
      </c>
      <c r="K90" s="163">
        <v>7.5</v>
      </c>
      <c r="L90" s="163">
        <v>8.15</v>
      </c>
      <c r="M90" s="163">
        <v>7.7</v>
      </c>
      <c r="N90" s="163">
        <v>8.3000000000000007</v>
      </c>
      <c r="O90" s="163">
        <v>7.1</v>
      </c>
      <c r="P90" s="163">
        <v>7.65</v>
      </c>
      <c r="Q90" s="163"/>
      <c r="Z90" s="164">
        <f t="shared" si="3"/>
        <v>61.100000000000009</v>
      </c>
      <c r="AA90" s="164">
        <f t="shared" si="2"/>
        <v>0.872857142857143</v>
      </c>
    </row>
    <row r="91" spans="1:27" s="164" customFormat="1">
      <c r="A91" s="162">
        <v>46051</v>
      </c>
      <c r="B91" s="206">
        <v>58</v>
      </c>
      <c r="C91" s="163">
        <v>70</v>
      </c>
      <c r="D91" s="163">
        <v>240126</v>
      </c>
      <c r="F91" s="164">
        <v>700</v>
      </c>
      <c r="I91" s="163">
        <v>8.25</v>
      </c>
      <c r="J91" s="163">
        <v>7.85</v>
      </c>
      <c r="K91" s="163">
        <v>7.5</v>
      </c>
      <c r="L91" s="163">
        <v>7.2</v>
      </c>
      <c r="M91" s="163">
        <v>7.35</v>
      </c>
      <c r="N91" s="163">
        <v>8.85</v>
      </c>
      <c r="O91" s="163">
        <v>7.7</v>
      </c>
      <c r="P91" s="163">
        <v>8.8000000000000007</v>
      </c>
      <c r="Q91" s="163"/>
      <c r="Z91" s="164">
        <f t="shared" si="3"/>
        <v>63.5</v>
      </c>
      <c r="AA91" s="164">
        <f t="shared" si="2"/>
        <v>0.90714285714285714</v>
      </c>
    </row>
    <row r="92" spans="1:27" s="164" customFormat="1">
      <c r="A92" s="162">
        <v>46051</v>
      </c>
      <c r="B92" s="206">
        <v>59</v>
      </c>
      <c r="C92" s="163">
        <v>70</v>
      </c>
      <c r="D92" s="163">
        <v>240126</v>
      </c>
      <c r="F92" s="164">
        <v>700</v>
      </c>
      <c r="I92" s="163">
        <v>7.85</v>
      </c>
      <c r="J92" s="163">
        <v>3.15</v>
      </c>
      <c r="K92" s="163">
        <v>7.75</v>
      </c>
      <c r="L92" s="163">
        <v>8.65</v>
      </c>
      <c r="M92" s="163">
        <v>7.65</v>
      </c>
      <c r="N92" s="164">
        <v>8.6</v>
      </c>
      <c r="O92" s="164">
        <v>7.3</v>
      </c>
      <c r="P92" s="164">
        <v>7.75</v>
      </c>
      <c r="Q92" s="164">
        <v>7.8</v>
      </c>
      <c r="Z92" s="164">
        <f t="shared" si="3"/>
        <v>66.5</v>
      </c>
      <c r="AA92" s="164">
        <f t="shared" si="2"/>
        <v>0.95</v>
      </c>
    </row>
    <row r="93" spans="1:27" s="164" customFormat="1">
      <c r="A93" s="162">
        <v>46051</v>
      </c>
      <c r="B93" s="206">
        <v>60</v>
      </c>
      <c r="C93" s="163">
        <v>70</v>
      </c>
      <c r="D93" s="163">
        <v>240126</v>
      </c>
      <c r="I93" s="163">
        <v>8.4</v>
      </c>
      <c r="J93" s="163">
        <v>4.7</v>
      </c>
      <c r="K93" s="163">
        <v>8.6999999999999993</v>
      </c>
      <c r="L93" s="164">
        <v>8.9499999999999993</v>
      </c>
      <c r="M93" s="164">
        <v>8.25</v>
      </c>
      <c r="N93" s="164">
        <v>7.8</v>
      </c>
      <c r="O93" s="164">
        <v>7.8</v>
      </c>
      <c r="P93" s="164">
        <v>8.25</v>
      </c>
      <c r="Q93" s="164">
        <v>7.25</v>
      </c>
      <c r="Z93" s="164">
        <f t="shared" si="3"/>
        <v>70.099999999999994</v>
      </c>
      <c r="AA93" s="164">
        <f t="shared" si="2"/>
        <v>1.0014285714285713</v>
      </c>
    </row>
    <row r="94" spans="1:27" s="164" customFormat="1">
      <c r="A94" s="162">
        <v>46051</v>
      </c>
      <c r="B94" s="206">
        <v>61</v>
      </c>
      <c r="C94" s="163">
        <v>27.37</v>
      </c>
      <c r="D94" s="163">
        <v>240126</v>
      </c>
      <c r="I94" s="163">
        <v>2.85</v>
      </c>
      <c r="J94" s="163">
        <v>2.95</v>
      </c>
      <c r="K94" s="163">
        <v>2.85</v>
      </c>
      <c r="L94" s="163">
        <v>2.8</v>
      </c>
      <c r="M94" s="164">
        <v>2.95</v>
      </c>
      <c r="N94" s="164">
        <v>2.95</v>
      </c>
      <c r="O94" s="164">
        <v>2.85</v>
      </c>
      <c r="P94" s="164">
        <v>2.85</v>
      </c>
      <c r="Q94" s="164">
        <v>3</v>
      </c>
      <c r="R94" s="164">
        <v>2.95</v>
      </c>
      <c r="S94" s="164">
        <v>2.95</v>
      </c>
      <c r="T94" s="164">
        <v>2.85</v>
      </c>
      <c r="Z94" s="164">
        <f t="shared" si="3"/>
        <v>34.799999999999997</v>
      </c>
      <c r="AA94" s="164">
        <f t="shared" si="2"/>
        <v>1.2714651077822432</v>
      </c>
    </row>
    <row r="95" spans="1:27" s="167" customFormat="1">
      <c r="A95" s="165">
        <v>46052</v>
      </c>
      <c r="B95" s="207">
        <v>62</v>
      </c>
      <c r="C95" s="166">
        <v>70</v>
      </c>
      <c r="D95" s="167">
        <v>270126</v>
      </c>
      <c r="F95" s="167">
        <v>600</v>
      </c>
      <c r="I95" s="166">
        <v>8.15</v>
      </c>
      <c r="J95" s="166">
        <v>8.85</v>
      </c>
      <c r="K95" s="166">
        <v>8.3000000000000007</v>
      </c>
      <c r="L95" s="167">
        <v>7.7</v>
      </c>
      <c r="M95" s="167">
        <v>8.9</v>
      </c>
      <c r="N95" s="167">
        <v>7.7</v>
      </c>
      <c r="O95" s="167">
        <v>7.95</v>
      </c>
      <c r="P95" s="167">
        <v>7.6</v>
      </c>
      <c r="Z95" s="167">
        <f t="shared" si="3"/>
        <v>65.150000000000006</v>
      </c>
      <c r="AA95" s="167">
        <f t="shared" si="2"/>
        <v>0.93071428571428583</v>
      </c>
    </row>
    <row r="96" spans="1:27" s="167" customFormat="1">
      <c r="A96" s="165">
        <v>46052</v>
      </c>
      <c r="B96" s="207">
        <v>63</v>
      </c>
      <c r="C96" s="166">
        <v>70</v>
      </c>
      <c r="D96" s="166">
        <v>270126</v>
      </c>
      <c r="F96" s="167">
        <v>600</v>
      </c>
      <c r="I96" s="166">
        <v>7.1</v>
      </c>
      <c r="J96" s="166">
        <v>8.1999999999999993</v>
      </c>
      <c r="K96" s="166">
        <v>8.1</v>
      </c>
      <c r="L96" s="166">
        <v>4.75</v>
      </c>
      <c r="M96" s="166">
        <v>7.15</v>
      </c>
      <c r="N96" s="166">
        <v>7.25</v>
      </c>
      <c r="O96" s="166">
        <v>8.0500000000000007</v>
      </c>
      <c r="P96" s="167">
        <v>7.85</v>
      </c>
      <c r="Z96" s="167">
        <f t="shared" si="3"/>
        <v>58.449999999999996</v>
      </c>
      <c r="AA96" s="167">
        <f t="shared" si="2"/>
        <v>0.83499999999999996</v>
      </c>
    </row>
    <row r="97" spans="1:27" s="167" customFormat="1">
      <c r="A97" s="168">
        <v>46052</v>
      </c>
      <c r="B97" s="207">
        <v>64</v>
      </c>
      <c r="C97" s="169" t="s">
        <v>406</v>
      </c>
      <c r="D97" s="169"/>
      <c r="E97" s="169"/>
      <c r="F97" s="169"/>
      <c r="G97" s="169"/>
      <c r="H97" s="169"/>
      <c r="I97" s="169"/>
      <c r="J97" s="169"/>
      <c r="K97" s="169"/>
      <c r="L97" s="169"/>
      <c r="M97" s="169"/>
      <c r="N97" s="169"/>
      <c r="O97" s="169"/>
      <c r="P97" s="169"/>
      <c r="Q97" s="169"/>
      <c r="Z97" s="167">
        <f t="shared" si="3"/>
        <v>0</v>
      </c>
      <c r="AA97" s="167" t="e">
        <f t="shared" si="2"/>
        <v>#VALUE!</v>
      </c>
    </row>
    <row r="98" spans="1:27" s="167" customFormat="1">
      <c r="A98" s="168">
        <v>46052</v>
      </c>
      <c r="B98" s="207">
        <v>65</v>
      </c>
      <c r="C98" s="169">
        <v>70</v>
      </c>
      <c r="D98" s="169">
        <v>270126</v>
      </c>
      <c r="E98" s="169"/>
      <c r="F98" s="169">
        <v>600</v>
      </c>
      <c r="G98" s="169"/>
      <c r="H98" s="169"/>
      <c r="I98" s="169">
        <v>7.75</v>
      </c>
      <c r="J98" s="169">
        <v>7.4</v>
      </c>
      <c r="K98" s="169">
        <v>8.5500000000000007</v>
      </c>
      <c r="L98" s="169">
        <v>7.8</v>
      </c>
      <c r="M98" s="169">
        <v>8.65</v>
      </c>
      <c r="N98" s="169">
        <v>8.35</v>
      </c>
      <c r="O98" s="169">
        <v>8.6</v>
      </c>
      <c r="P98" s="169">
        <v>8</v>
      </c>
      <c r="Q98" s="169"/>
      <c r="Z98" s="167">
        <f t="shared" si="3"/>
        <v>65.100000000000009</v>
      </c>
      <c r="AA98" s="167">
        <f t="shared" si="2"/>
        <v>0.93000000000000016</v>
      </c>
    </row>
    <row r="99" spans="1:27" s="167" customFormat="1">
      <c r="A99" s="168">
        <v>46052</v>
      </c>
      <c r="B99" s="207">
        <v>66</v>
      </c>
      <c r="C99" s="169">
        <f>70+19.85</f>
        <v>89.85</v>
      </c>
      <c r="D99" s="169">
        <v>270126</v>
      </c>
      <c r="E99" s="169"/>
      <c r="F99" s="169"/>
      <c r="G99" s="169"/>
      <c r="H99" s="169"/>
      <c r="I99" s="169">
        <v>8.85</v>
      </c>
      <c r="J99" s="169">
        <v>8.75</v>
      </c>
      <c r="K99" s="169">
        <v>8.3000000000000007</v>
      </c>
      <c r="L99" s="169">
        <v>7.5</v>
      </c>
      <c r="M99" s="169">
        <v>8.1999999999999993</v>
      </c>
      <c r="N99" s="169">
        <v>7.55</v>
      </c>
      <c r="O99" s="169">
        <v>8.9</v>
      </c>
      <c r="P99" s="169">
        <v>7.8</v>
      </c>
      <c r="Q99" s="169">
        <v>3.25</v>
      </c>
      <c r="Z99" s="167">
        <f t="shared" si="3"/>
        <v>69.100000000000009</v>
      </c>
      <c r="AA99" s="167">
        <f t="shared" si="2"/>
        <v>0.76905954368391782</v>
      </c>
    </row>
    <row r="100" spans="1:27" s="7" customFormat="1">
      <c r="A100" s="107">
        <v>46052</v>
      </c>
      <c r="B100" s="200">
        <v>67</v>
      </c>
      <c r="C100" s="38" t="s">
        <v>406</v>
      </c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Z100" s="7">
        <f t="shared" si="3"/>
        <v>0</v>
      </c>
      <c r="AA100" s="7" t="e">
        <f t="shared" si="2"/>
        <v>#VALUE!</v>
      </c>
    </row>
    <row r="101" spans="1:27" s="7" customFormat="1">
      <c r="A101" s="35">
        <v>46053</v>
      </c>
      <c r="B101" s="200">
        <v>68</v>
      </c>
      <c r="C101" s="38">
        <v>70</v>
      </c>
      <c r="D101" s="38">
        <v>280126</v>
      </c>
      <c r="F101" s="7">
        <v>600</v>
      </c>
      <c r="I101" s="38">
        <v>8.1999999999999993</v>
      </c>
      <c r="J101" s="38">
        <v>8.1</v>
      </c>
      <c r="K101" s="38">
        <v>8.1999999999999993</v>
      </c>
      <c r="L101" s="38">
        <v>7.7</v>
      </c>
      <c r="M101" s="38">
        <v>8.5</v>
      </c>
      <c r="N101" s="38">
        <v>8.4</v>
      </c>
      <c r="O101" s="7">
        <v>8.6</v>
      </c>
      <c r="Z101" s="7">
        <f t="shared" si="3"/>
        <v>57.699999999999996</v>
      </c>
      <c r="AA101" s="7">
        <f t="shared" si="2"/>
        <v>0.82428571428571418</v>
      </c>
    </row>
    <row r="102" spans="1:27" s="44" customFormat="1">
      <c r="A102" s="170">
        <v>46055</v>
      </c>
      <c r="B102" s="208">
        <v>69</v>
      </c>
      <c r="C102" s="171">
        <v>70</v>
      </c>
      <c r="D102" s="171">
        <v>300126</v>
      </c>
      <c r="F102" s="44">
        <v>600</v>
      </c>
      <c r="I102" s="171">
        <v>7.2</v>
      </c>
      <c r="J102" s="171">
        <v>8.5</v>
      </c>
      <c r="K102" s="171">
        <v>4.95</v>
      </c>
      <c r="L102" s="171">
        <v>8.4499999999999993</v>
      </c>
      <c r="M102" s="171">
        <v>7.4</v>
      </c>
      <c r="N102" s="171">
        <v>7.35</v>
      </c>
      <c r="O102" s="44">
        <v>7.55</v>
      </c>
      <c r="P102" s="44">
        <v>8.15</v>
      </c>
      <c r="Q102" s="44">
        <v>8.5500000000000007</v>
      </c>
      <c r="Z102" s="44">
        <f t="shared" si="3"/>
        <v>68.099999999999994</v>
      </c>
      <c r="AA102" s="44">
        <f>+Z102/C102</f>
        <v>0.97285714285714275</v>
      </c>
    </row>
    <row r="103" spans="1:27" s="7" customFormat="1">
      <c r="A103" s="35">
        <v>46055</v>
      </c>
      <c r="B103" s="36">
        <v>70</v>
      </c>
      <c r="C103" s="37">
        <v>72</v>
      </c>
      <c r="D103" s="37">
        <v>290126</v>
      </c>
      <c r="F103" s="7">
        <v>600</v>
      </c>
      <c r="I103" s="37">
        <v>8.35</v>
      </c>
      <c r="J103" s="37">
        <v>7.95</v>
      </c>
      <c r="K103" s="37">
        <v>8.15</v>
      </c>
      <c r="L103" s="37">
        <v>7.05</v>
      </c>
      <c r="M103" s="37">
        <v>7.75</v>
      </c>
      <c r="N103" s="37">
        <v>7.95</v>
      </c>
      <c r="O103" s="37">
        <v>7.8</v>
      </c>
      <c r="P103" s="37">
        <v>7.65</v>
      </c>
      <c r="Q103" s="37">
        <v>8.3000000000000007</v>
      </c>
      <c r="Z103" s="7">
        <f t="shared" ref="Z103:Z111" si="4">+SUM(I103:Q103)</f>
        <v>70.95</v>
      </c>
      <c r="AA103" s="7">
        <f>+Z103/C103</f>
        <v>0.98541666666666672</v>
      </c>
    </row>
    <row r="104" spans="1:27" s="7" customFormat="1">
      <c r="A104" s="35">
        <v>46055</v>
      </c>
      <c r="B104" s="36">
        <v>71</v>
      </c>
      <c r="C104" s="37">
        <f>30+42</f>
        <v>72</v>
      </c>
      <c r="D104" s="37" t="s">
        <v>353</v>
      </c>
      <c r="F104" s="7">
        <v>600</v>
      </c>
      <c r="I104" s="37">
        <v>8.6</v>
      </c>
      <c r="J104" s="37">
        <v>8.1999999999999993</v>
      </c>
      <c r="K104" s="37">
        <v>7.9</v>
      </c>
      <c r="L104" s="37">
        <v>8.3000000000000007</v>
      </c>
      <c r="M104" s="37">
        <v>8.3000000000000007</v>
      </c>
      <c r="N104" s="37">
        <v>7.85</v>
      </c>
      <c r="O104" s="37">
        <v>8</v>
      </c>
      <c r="P104" s="37">
        <v>8.0500000000000007</v>
      </c>
      <c r="Q104" s="37"/>
      <c r="Z104" s="7">
        <f t="shared" si="4"/>
        <v>65.2</v>
      </c>
      <c r="AA104" s="7">
        <f>+Z104/C104</f>
        <v>0.90555555555555556</v>
      </c>
    </row>
    <row r="105" spans="1:27" s="44" customFormat="1">
      <c r="A105" s="170">
        <v>46055</v>
      </c>
      <c r="B105" s="172">
        <v>72</v>
      </c>
      <c r="C105" s="173">
        <v>70</v>
      </c>
      <c r="D105" s="173">
        <v>300126</v>
      </c>
      <c r="F105" s="44">
        <v>600</v>
      </c>
      <c r="I105" s="173">
        <v>7.8</v>
      </c>
      <c r="J105" s="173">
        <v>8.5500000000000007</v>
      </c>
      <c r="K105" s="173">
        <v>8.9</v>
      </c>
      <c r="L105" s="173">
        <v>7.65</v>
      </c>
      <c r="M105" s="173">
        <v>8.4</v>
      </c>
      <c r="N105" s="173">
        <v>7.5</v>
      </c>
      <c r="O105" s="173">
        <v>8.35</v>
      </c>
      <c r="P105" s="173">
        <v>8.6</v>
      </c>
      <c r="Q105" s="173">
        <v>8.85</v>
      </c>
      <c r="Z105" s="44">
        <f t="shared" si="4"/>
        <v>74.599999999999994</v>
      </c>
      <c r="AA105" s="44">
        <f t="shared" ref="AA105:AA173" si="5">+Z105/C105</f>
        <v>1.0657142857142856</v>
      </c>
    </row>
    <row r="106" spans="1:27" s="44" customFormat="1">
      <c r="A106" s="170">
        <v>46055</v>
      </c>
      <c r="B106" s="172">
        <v>73</v>
      </c>
      <c r="C106" s="173">
        <v>70</v>
      </c>
      <c r="D106" s="173">
        <v>300126</v>
      </c>
      <c r="F106" s="44">
        <v>600</v>
      </c>
      <c r="I106" s="173">
        <v>8.1</v>
      </c>
      <c r="J106" s="173">
        <v>8.15</v>
      </c>
      <c r="K106" s="173">
        <v>8.4499999999999993</v>
      </c>
      <c r="L106" s="173">
        <v>8.5</v>
      </c>
      <c r="M106" s="173">
        <v>8.0500000000000007</v>
      </c>
      <c r="N106" s="173">
        <v>8.5</v>
      </c>
      <c r="O106" s="173">
        <v>7.8</v>
      </c>
      <c r="P106" s="173"/>
      <c r="Q106" s="173"/>
      <c r="Z106" s="44">
        <f t="shared" si="4"/>
        <v>57.55</v>
      </c>
      <c r="AA106" s="44">
        <f t="shared" si="5"/>
        <v>0.82214285714285706</v>
      </c>
    </row>
    <row r="107" spans="1:27" s="44" customFormat="1">
      <c r="A107" s="170">
        <v>46056</v>
      </c>
      <c r="B107" s="172">
        <v>74</v>
      </c>
      <c r="C107" s="173">
        <f>21.8+25</f>
        <v>46.8</v>
      </c>
      <c r="D107" s="173">
        <v>300126</v>
      </c>
      <c r="I107" s="173">
        <v>7.3</v>
      </c>
      <c r="J107" s="173">
        <v>7.75</v>
      </c>
      <c r="K107" s="173">
        <v>7.15</v>
      </c>
      <c r="L107" s="173">
        <v>8.6</v>
      </c>
      <c r="M107" s="173">
        <v>8.5</v>
      </c>
      <c r="Z107" s="44">
        <f t="shared" si="4"/>
        <v>39.300000000000004</v>
      </c>
      <c r="AA107" s="44">
        <f t="shared" si="5"/>
        <v>0.83974358974358987</v>
      </c>
    </row>
    <row r="108" spans="1:27" s="44" customFormat="1">
      <c r="A108" s="170">
        <v>46056</v>
      </c>
      <c r="B108" s="172">
        <v>75</v>
      </c>
      <c r="C108" s="173">
        <v>26</v>
      </c>
      <c r="D108" s="173">
        <v>300126</v>
      </c>
      <c r="F108" s="44">
        <v>0</v>
      </c>
      <c r="I108" s="173">
        <v>8.9499999999999993</v>
      </c>
      <c r="J108" s="173">
        <v>8.15</v>
      </c>
      <c r="K108" s="173">
        <v>8</v>
      </c>
      <c r="Z108" s="44">
        <f t="shared" si="4"/>
        <v>25.1</v>
      </c>
      <c r="AA108" s="44">
        <f t="shared" si="5"/>
        <v>0.9653846153846154</v>
      </c>
    </row>
    <row r="109" spans="1:27" s="44" customFormat="1">
      <c r="A109" s="170">
        <v>46056</v>
      </c>
      <c r="B109" s="172">
        <v>76</v>
      </c>
      <c r="C109" s="173">
        <v>27</v>
      </c>
      <c r="D109" s="173">
        <v>3001226</v>
      </c>
      <c r="F109" s="44">
        <v>0</v>
      </c>
      <c r="I109" s="173">
        <v>8.4</v>
      </c>
      <c r="J109" s="173">
        <v>8.65</v>
      </c>
      <c r="K109" s="173">
        <v>8.5</v>
      </c>
      <c r="L109" s="173">
        <v>7.95</v>
      </c>
      <c r="Z109" s="44">
        <f t="shared" si="4"/>
        <v>33.5</v>
      </c>
      <c r="AA109" s="44">
        <f t="shared" si="5"/>
        <v>1.2407407407407407</v>
      </c>
    </row>
    <row r="110" spans="1:27" s="44" customFormat="1">
      <c r="A110" s="170">
        <v>46056</v>
      </c>
      <c r="B110" s="172">
        <v>77</v>
      </c>
      <c r="C110" s="173">
        <f>26.5+3.5</f>
        <v>30</v>
      </c>
      <c r="D110" s="44" t="s">
        <v>354</v>
      </c>
      <c r="F110" s="44">
        <v>0</v>
      </c>
      <c r="I110" s="173">
        <v>8.15</v>
      </c>
      <c r="J110" s="173">
        <v>7.95</v>
      </c>
      <c r="K110" s="173">
        <v>8.4499999999999993</v>
      </c>
      <c r="Z110" s="44">
        <f t="shared" si="4"/>
        <v>24.55</v>
      </c>
      <c r="AA110" s="44">
        <f t="shared" si="5"/>
        <v>0.81833333333333336</v>
      </c>
    </row>
    <row r="111" spans="1:27" s="177" customFormat="1">
      <c r="A111" s="174">
        <v>46056</v>
      </c>
      <c r="B111" s="175">
        <v>78</v>
      </c>
      <c r="C111" s="176">
        <v>53</v>
      </c>
      <c r="D111" s="176">
        <v>310126</v>
      </c>
      <c r="F111" s="177">
        <v>0</v>
      </c>
      <c r="I111" s="176">
        <v>5.65</v>
      </c>
      <c r="J111" s="176">
        <v>8.35</v>
      </c>
      <c r="K111" s="176">
        <v>7.35</v>
      </c>
      <c r="L111" s="176">
        <v>8.15</v>
      </c>
      <c r="M111" s="176">
        <v>7.65</v>
      </c>
      <c r="N111" s="176">
        <v>8.1999999999999993</v>
      </c>
      <c r="O111" s="176">
        <v>7.75</v>
      </c>
      <c r="Z111" s="177">
        <f t="shared" si="4"/>
        <v>53.099999999999994</v>
      </c>
      <c r="AA111" s="177">
        <f t="shared" si="5"/>
        <v>1.0018867924528301</v>
      </c>
    </row>
    <row r="112" spans="1:27" s="177" customFormat="1">
      <c r="A112" s="178">
        <v>46057</v>
      </c>
      <c r="B112" s="179">
        <v>79</v>
      </c>
      <c r="C112" s="179">
        <v>50</v>
      </c>
      <c r="D112" s="179">
        <v>3101226</v>
      </c>
      <c r="E112" s="179"/>
      <c r="F112" s="177">
        <v>0</v>
      </c>
      <c r="G112" s="179"/>
      <c r="H112" s="179"/>
      <c r="I112" s="179">
        <v>8</v>
      </c>
      <c r="J112" s="179">
        <v>8.6999999999999993</v>
      </c>
      <c r="K112" s="179">
        <v>8.0500000000000007</v>
      </c>
      <c r="L112" s="179">
        <v>7.7</v>
      </c>
      <c r="M112" s="179">
        <v>7.4</v>
      </c>
      <c r="N112" s="179"/>
      <c r="O112" s="179"/>
      <c r="P112" s="179"/>
      <c r="Q112" s="179"/>
      <c r="Z112" s="177">
        <f t="shared" ref="Z112:Z118" si="6">+SUM(I112:Q112)</f>
        <v>39.85</v>
      </c>
      <c r="AA112" s="177">
        <f t="shared" si="5"/>
        <v>0.79700000000000004</v>
      </c>
    </row>
    <row r="113" spans="1:27" s="177" customFormat="1">
      <c r="A113" s="178">
        <v>46057</v>
      </c>
      <c r="B113" s="179">
        <v>80</v>
      </c>
      <c r="C113" s="179">
        <v>50</v>
      </c>
      <c r="D113" s="179">
        <v>310226</v>
      </c>
      <c r="E113" s="179"/>
      <c r="F113" s="177">
        <v>0</v>
      </c>
      <c r="G113" s="179"/>
      <c r="H113" s="179"/>
      <c r="I113" s="179">
        <v>8.4</v>
      </c>
      <c r="J113" s="179">
        <v>9</v>
      </c>
      <c r="K113" s="179">
        <v>8.1</v>
      </c>
      <c r="L113" s="179">
        <v>8.1999999999999993</v>
      </c>
      <c r="M113" s="179">
        <v>8.25</v>
      </c>
      <c r="N113" s="179"/>
      <c r="O113" s="179"/>
      <c r="P113" s="179"/>
      <c r="Q113" s="179"/>
      <c r="Z113" s="177">
        <f t="shared" si="6"/>
        <v>41.95</v>
      </c>
      <c r="AA113" s="177">
        <f t="shared" si="5"/>
        <v>0.83900000000000008</v>
      </c>
    </row>
    <row r="114" spans="1:27" s="177" customFormat="1">
      <c r="A114" s="178">
        <v>46057</v>
      </c>
      <c r="B114" s="179">
        <v>81</v>
      </c>
      <c r="C114" s="179">
        <v>50</v>
      </c>
      <c r="D114" s="179">
        <v>310226</v>
      </c>
      <c r="E114" s="179"/>
      <c r="F114" s="177">
        <v>0</v>
      </c>
      <c r="G114" s="179"/>
      <c r="H114" s="179"/>
      <c r="I114" s="179">
        <v>8.5</v>
      </c>
      <c r="J114" s="179">
        <v>8.65</v>
      </c>
      <c r="K114" s="179">
        <v>8.6</v>
      </c>
      <c r="L114" s="179">
        <v>8.4</v>
      </c>
      <c r="M114" s="179">
        <v>8.9499999999999993</v>
      </c>
      <c r="N114" s="179">
        <v>6.85</v>
      </c>
      <c r="O114" s="179"/>
      <c r="P114" s="179"/>
      <c r="Q114" s="179"/>
      <c r="Z114" s="177">
        <f t="shared" si="6"/>
        <v>49.949999999999996</v>
      </c>
      <c r="AA114" s="177">
        <f t="shared" si="5"/>
        <v>0.99899999999999989</v>
      </c>
    </row>
    <row r="115" spans="1:27" s="177" customFormat="1">
      <c r="A115" s="178">
        <v>46057</v>
      </c>
      <c r="B115" s="179">
        <v>82</v>
      </c>
      <c r="C115" s="179">
        <v>59</v>
      </c>
      <c r="D115" s="179">
        <v>310226</v>
      </c>
      <c r="E115" s="179"/>
      <c r="F115" s="177">
        <v>0</v>
      </c>
      <c r="G115" s="179"/>
      <c r="H115" s="179"/>
      <c r="I115" s="179">
        <v>7.35</v>
      </c>
      <c r="J115" s="179">
        <v>8.9</v>
      </c>
      <c r="K115" s="179">
        <v>8</v>
      </c>
      <c r="L115" s="179">
        <v>7.75</v>
      </c>
      <c r="M115" s="179">
        <v>8.75</v>
      </c>
      <c r="N115" s="179">
        <v>7.7</v>
      </c>
      <c r="O115" s="179"/>
      <c r="P115" s="179"/>
      <c r="Q115" s="179"/>
      <c r="Z115" s="177">
        <f t="shared" si="6"/>
        <v>48.45</v>
      </c>
      <c r="AA115" s="177">
        <f t="shared" si="5"/>
        <v>0.8211864406779662</v>
      </c>
    </row>
    <row r="116" spans="1:27" s="167" customFormat="1">
      <c r="A116" s="165">
        <v>46058</v>
      </c>
      <c r="B116" s="169">
        <v>83</v>
      </c>
      <c r="C116" s="169">
        <v>59</v>
      </c>
      <c r="D116" s="169">
        <v>30226</v>
      </c>
      <c r="F116" s="167">
        <v>0</v>
      </c>
      <c r="I116" s="169">
        <v>8.25</v>
      </c>
      <c r="J116" s="169">
        <v>7.6</v>
      </c>
      <c r="K116" s="169">
        <v>8.9499999999999993</v>
      </c>
      <c r="L116" s="169">
        <v>8.0500000000000007</v>
      </c>
      <c r="M116" s="169">
        <v>8.4499999999999993</v>
      </c>
      <c r="N116" s="169">
        <v>8.6</v>
      </c>
      <c r="Z116" s="167">
        <f t="shared" si="6"/>
        <v>49.9</v>
      </c>
      <c r="AA116" s="167">
        <f t="shared" si="5"/>
        <v>0.84576271186440677</v>
      </c>
    </row>
    <row r="117" spans="1:27" s="167" customFormat="1">
      <c r="A117" s="165">
        <v>46058</v>
      </c>
      <c r="B117" s="169">
        <v>84</v>
      </c>
      <c r="C117" s="169">
        <v>59</v>
      </c>
      <c r="D117" s="169">
        <v>30226</v>
      </c>
      <c r="F117" s="167">
        <v>0</v>
      </c>
      <c r="I117" s="169">
        <v>9.0500000000000007</v>
      </c>
      <c r="J117" s="169">
        <v>8.25</v>
      </c>
      <c r="K117" s="169">
        <v>8.0500000000000007</v>
      </c>
      <c r="L117" s="169">
        <v>9.1</v>
      </c>
      <c r="M117" s="169">
        <v>8.0500000000000007</v>
      </c>
      <c r="N117" s="169">
        <v>8.6999999999999993</v>
      </c>
      <c r="Z117" s="167">
        <f t="shared" si="6"/>
        <v>51.2</v>
      </c>
      <c r="AA117" s="167">
        <f t="shared" si="5"/>
        <v>0.86779661016949161</v>
      </c>
    </row>
    <row r="118" spans="1:27" s="167" customFormat="1">
      <c r="A118" s="165">
        <v>46058</v>
      </c>
      <c r="B118" s="169">
        <v>85</v>
      </c>
      <c r="C118" s="169">
        <v>69</v>
      </c>
      <c r="D118" s="169">
        <v>30226</v>
      </c>
      <c r="F118" s="167">
        <v>0</v>
      </c>
      <c r="I118" s="169">
        <v>8.8000000000000007</v>
      </c>
      <c r="J118" s="169">
        <v>8.5</v>
      </c>
      <c r="K118" s="169">
        <v>9.1</v>
      </c>
      <c r="L118" s="169">
        <v>8.75</v>
      </c>
      <c r="M118" s="169">
        <v>8.5</v>
      </c>
      <c r="N118" s="169">
        <v>8.6</v>
      </c>
      <c r="O118" s="169">
        <v>8.1</v>
      </c>
      <c r="Z118" s="167">
        <f t="shared" si="6"/>
        <v>60.35</v>
      </c>
      <c r="AA118" s="167">
        <f t="shared" si="5"/>
        <v>0.87463768115942031</v>
      </c>
    </row>
    <row r="119" spans="1:27" s="167" customFormat="1">
      <c r="A119" s="165">
        <v>46058</v>
      </c>
      <c r="B119" s="169">
        <v>86</v>
      </c>
      <c r="C119" s="169">
        <v>69</v>
      </c>
      <c r="D119" s="169">
        <v>30226</v>
      </c>
      <c r="F119" s="167">
        <v>0</v>
      </c>
      <c r="I119" s="169">
        <v>8.4</v>
      </c>
      <c r="J119" s="169">
        <v>7.55</v>
      </c>
      <c r="K119" s="169">
        <v>8.15</v>
      </c>
      <c r="L119" s="169">
        <v>7.7</v>
      </c>
      <c r="M119" s="169">
        <v>8.9499999999999993</v>
      </c>
      <c r="N119" s="169">
        <v>8.85</v>
      </c>
      <c r="Z119" s="167">
        <f t="shared" ref="Z119:Z172" si="7">+SUM(I119:Q119)</f>
        <v>49.6</v>
      </c>
      <c r="AA119" s="167">
        <f t="shared" si="5"/>
        <v>0.71884057971014492</v>
      </c>
    </row>
    <row r="120" spans="1:27" s="167" customFormat="1">
      <c r="A120" s="165">
        <v>46058</v>
      </c>
      <c r="B120" s="169">
        <v>87</v>
      </c>
      <c r="C120" s="169">
        <v>57</v>
      </c>
      <c r="D120" s="169">
        <v>30226</v>
      </c>
      <c r="F120" s="167">
        <v>0</v>
      </c>
      <c r="I120" s="169">
        <v>10.75</v>
      </c>
      <c r="J120" s="169">
        <v>7.85</v>
      </c>
      <c r="K120" s="169">
        <v>8.5500000000000007</v>
      </c>
      <c r="L120" s="169">
        <v>8.75</v>
      </c>
      <c r="M120" s="169">
        <v>8.5</v>
      </c>
      <c r="N120" s="169">
        <v>8.15</v>
      </c>
      <c r="Z120" s="167">
        <f t="shared" si="7"/>
        <v>52.550000000000004</v>
      </c>
      <c r="AA120" s="167">
        <f t="shared" si="5"/>
        <v>0.9219298245614036</v>
      </c>
    </row>
    <row r="121" spans="1:27" s="7" customFormat="1">
      <c r="B121" s="38">
        <v>88</v>
      </c>
      <c r="C121" s="37"/>
      <c r="F121" s="7">
        <v>0</v>
      </c>
      <c r="Z121" s="7">
        <f t="shared" si="7"/>
        <v>0</v>
      </c>
      <c r="AA121" s="7" t="e">
        <f t="shared" si="5"/>
        <v>#DIV/0!</v>
      </c>
    </row>
    <row r="122" spans="1:27" s="7" customFormat="1">
      <c r="B122" s="38">
        <v>89</v>
      </c>
      <c r="C122" s="37"/>
      <c r="F122" s="7">
        <v>0</v>
      </c>
      <c r="Z122" s="7">
        <f t="shared" si="7"/>
        <v>0</v>
      </c>
      <c r="AA122" s="7" t="e">
        <f t="shared" si="5"/>
        <v>#DIV/0!</v>
      </c>
    </row>
    <row r="123" spans="1:27" s="44" customFormat="1">
      <c r="A123" s="170">
        <v>46059</v>
      </c>
      <c r="B123" s="171">
        <v>90</v>
      </c>
      <c r="C123" s="173">
        <v>65.650000000000006</v>
      </c>
      <c r="D123" s="173" t="s">
        <v>409</v>
      </c>
      <c r="F123" s="44">
        <v>0</v>
      </c>
      <c r="I123" s="44">
        <v>9.0500000000000007</v>
      </c>
      <c r="J123" s="44">
        <v>8.65</v>
      </c>
      <c r="K123" s="44">
        <v>8</v>
      </c>
      <c r="L123" s="44">
        <v>8.4499999999999993</v>
      </c>
      <c r="M123" s="44">
        <v>9.1</v>
      </c>
      <c r="N123" s="44">
        <v>8.35</v>
      </c>
      <c r="O123" s="44">
        <f>8+3.7</f>
        <v>11.7</v>
      </c>
      <c r="Z123" s="44">
        <f t="shared" si="7"/>
        <v>63.300000000000011</v>
      </c>
      <c r="AA123" s="44">
        <f t="shared" si="5"/>
        <v>0.96420411271896433</v>
      </c>
    </row>
    <row r="124" spans="1:27" s="44" customFormat="1">
      <c r="A124" s="170">
        <v>46059</v>
      </c>
      <c r="B124" s="171">
        <v>91</v>
      </c>
      <c r="C124" s="173">
        <v>65</v>
      </c>
      <c r="D124" s="173">
        <v>40226</v>
      </c>
      <c r="F124" s="44">
        <v>0</v>
      </c>
      <c r="I124" s="44">
        <v>3.2</v>
      </c>
      <c r="J124" s="44">
        <v>8.6999999999999993</v>
      </c>
      <c r="K124" s="44">
        <v>9.1999999999999993</v>
      </c>
      <c r="L124" s="44">
        <v>8.6</v>
      </c>
      <c r="M124" s="44">
        <v>8.8000000000000007</v>
      </c>
      <c r="N124" s="44">
        <v>9</v>
      </c>
      <c r="O124" s="44">
        <v>8.6</v>
      </c>
      <c r="P124" s="44">
        <f>9.25-3.7</f>
        <v>5.55</v>
      </c>
      <c r="Z124" s="44">
        <f t="shared" si="7"/>
        <v>61.65</v>
      </c>
      <c r="AA124" s="44">
        <f t="shared" si="5"/>
        <v>0.94846153846153847</v>
      </c>
    </row>
    <row r="125" spans="1:27" s="7" customFormat="1">
      <c r="A125" s="35">
        <v>46059</v>
      </c>
      <c r="B125" s="38">
        <v>92</v>
      </c>
      <c r="C125" s="37"/>
      <c r="D125" s="37">
        <v>60226</v>
      </c>
      <c r="F125" s="7">
        <v>0</v>
      </c>
      <c r="Z125" s="7">
        <f t="shared" si="7"/>
        <v>0</v>
      </c>
      <c r="AA125" s="7" t="e">
        <f t="shared" si="5"/>
        <v>#DIV/0!</v>
      </c>
    </row>
    <row r="126" spans="1:27" s="164" customFormat="1">
      <c r="A126" s="162">
        <v>44964</v>
      </c>
      <c r="B126" s="180">
        <v>93</v>
      </c>
      <c r="C126" s="163">
        <v>67</v>
      </c>
      <c r="D126" s="163">
        <v>50226</v>
      </c>
      <c r="F126" s="164">
        <v>0</v>
      </c>
      <c r="I126" s="164">
        <v>4.0999999999999996</v>
      </c>
      <c r="J126" s="164">
        <v>7.75</v>
      </c>
      <c r="K126" s="164">
        <v>8.3000000000000007</v>
      </c>
      <c r="L126" s="164">
        <v>8.85</v>
      </c>
      <c r="M126" s="164">
        <v>8.75</v>
      </c>
      <c r="N126" s="164">
        <v>8.4499999999999993</v>
      </c>
      <c r="O126" s="164">
        <v>9</v>
      </c>
      <c r="Z126" s="164">
        <f t="shared" si="7"/>
        <v>55.2</v>
      </c>
      <c r="AA126" s="164">
        <f t="shared" si="5"/>
        <v>0.82388059701492544</v>
      </c>
    </row>
    <row r="127" spans="1:27" s="7" customFormat="1">
      <c r="A127" s="35">
        <v>46060</v>
      </c>
      <c r="B127" s="38" t="s">
        <v>408</v>
      </c>
      <c r="C127" s="37">
        <v>30</v>
      </c>
      <c r="D127" s="37">
        <v>290126</v>
      </c>
      <c r="F127" s="7">
        <v>0</v>
      </c>
      <c r="Z127" s="7">
        <f t="shared" si="7"/>
        <v>0</v>
      </c>
      <c r="AA127" s="7">
        <f t="shared" si="5"/>
        <v>0</v>
      </c>
    </row>
    <row r="128" spans="1:27" s="7" customFormat="1">
      <c r="A128" s="35">
        <v>46060</v>
      </c>
      <c r="B128" s="38">
        <v>95</v>
      </c>
      <c r="C128" s="37"/>
      <c r="D128" s="37">
        <v>70226</v>
      </c>
      <c r="F128" s="7">
        <v>0</v>
      </c>
      <c r="Z128" s="7">
        <f t="shared" si="7"/>
        <v>0</v>
      </c>
      <c r="AA128" s="7" t="e">
        <f t="shared" si="5"/>
        <v>#DIV/0!</v>
      </c>
    </row>
    <row r="129" spans="1:29" s="164" customFormat="1">
      <c r="A129" s="162">
        <v>46062</v>
      </c>
      <c r="B129" s="180">
        <v>96</v>
      </c>
      <c r="C129" s="163">
        <v>70</v>
      </c>
      <c r="D129" s="163">
        <v>50226</v>
      </c>
      <c r="F129" s="164">
        <v>0</v>
      </c>
      <c r="I129" s="164">
        <v>9.4</v>
      </c>
      <c r="J129" s="164">
        <v>8.8000000000000007</v>
      </c>
      <c r="K129" s="164">
        <v>8.4499999999999993</v>
      </c>
      <c r="L129" s="164">
        <v>9.1</v>
      </c>
      <c r="M129" s="164">
        <v>8.3000000000000007</v>
      </c>
      <c r="N129" s="164">
        <v>9.0500000000000007</v>
      </c>
      <c r="O129" s="164">
        <f>7.8+3.3</f>
        <v>11.1</v>
      </c>
      <c r="Z129" s="164">
        <f t="shared" si="7"/>
        <v>64.199999999999989</v>
      </c>
      <c r="AA129" s="164">
        <f t="shared" si="5"/>
        <v>0.91714285714285693</v>
      </c>
    </row>
    <row r="130" spans="1:29" s="164" customFormat="1">
      <c r="A130" s="162">
        <v>46062</v>
      </c>
      <c r="B130" s="180">
        <v>97</v>
      </c>
      <c r="C130" s="163">
        <v>70</v>
      </c>
      <c r="D130" s="163">
        <v>50226</v>
      </c>
      <c r="F130" s="164">
        <v>0</v>
      </c>
      <c r="I130" s="164">
        <v>8.8000000000000007</v>
      </c>
      <c r="J130" s="164">
        <v>8.6999999999999993</v>
      </c>
      <c r="K130" s="164">
        <v>8.6999999999999993</v>
      </c>
      <c r="L130" s="164">
        <v>9.1999999999999993</v>
      </c>
      <c r="M130" s="164">
        <v>9.4499999999999993</v>
      </c>
      <c r="N130" s="164">
        <v>8.6999999999999993</v>
      </c>
      <c r="O130" s="164">
        <f>8.7-3.3+5</f>
        <v>10.399999999999999</v>
      </c>
      <c r="Z130" s="164">
        <f t="shared" si="7"/>
        <v>63.949999999999996</v>
      </c>
      <c r="AA130" s="164">
        <f t="shared" si="5"/>
        <v>0.91357142857142848</v>
      </c>
    </row>
    <row r="131" spans="1:29" s="164" customFormat="1">
      <c r="A131" s="162">
        <v>46062</v>
      </c>
      <c r="B131" s="180">
        <v>98</v>
      </c>
      <c r="C131" s="163">
        <v>70</v>
      </c>
      <c r="D131" s="163">
        <v>50226</v>
      </c>
      <c r="F131" s="164">
        <v>0</v>
      </c>
      <c r="I131" s="164">
        <v>8.65</v>
      </c>
      <c r="J131" s="164">
        <v>8.4499999999999993</v>
      </c>
      <c r="K131" s="164">
        <v>8.6</v>
      </c>
      <c r="L131" s="164">
        <v>8.85</v>
      </c>
      <c r="M131" s="164">
        <v>8.25</v>
      </c>
      <c r="N131" s="164">
        <v>8.5500000000000007</v>
      </c>
      <c r="O131" s="164">
        <f>8.5-5+3</f>
        <v>6.5</v>
      </c>
      <c r="Z131" s="164">
        <f t="shared" si="7"/>
        <v>57.850000000000009</v>
      </c>
      <c r="AA131" s="164">
        <f t="shared" si="5"/>
        <v>0.82642857142857151</v>
      </c>
    </row>
    <row r="132" spans="1:29" s="164" customFormat="1">
      <c r="A132" s="162">
        <v>46062</v>
      </c>
      <c r="B132" s="180">
        <v>99</v>
      </c>
      <c r="C132" s="163">
        <v>70</v>
      </c>
      <c r="D132" s="163">
        <v>50226</v>
      </c>
      <c r="F132" s="164">
        <v>0</v>
      </c>
      <c r="I132" s="164">
        <v>8.4499999999999993</v>
      </c>
      <c r="J132" s="164">
        <v>9.25</v>
      </c>
      <c r="K132" s="164">
        <v>9.1</v>
      </c>
      <c r="L132" s="164">
        <v>9.5</v>
      </c>
      <c r="M132" s="164">
        <v>9.3000000000000007</v>
      </c>
      <c r="N132" s="164">
        <v>9.5</v>
      </c>
      <c r="O132" s="164">
        <f>9.1-3</f>
        <v>6.1</v>
      </c>
      <c r="Z132" s="164">
        <f t="shared" si="7"/>
        <v>61.199999999999996</v>
      </c>
      <c r="AA132" s="164">
        <f t="shared" si="5"/>
        <v>0.87428571428571422</v>
      </c>
    </row>
    <row r="133" spans="1:29" s="7" customFormat="1">
      <c r="A133" s="35">
        <v>46063</v>
      </c>
      <c r="B133" s="37">
        <v>100</v>
      </c>
      <c r="C133" s="37">
        <v>62.6</v>
      </c>
      <c r="D133" s="37">
        <v>60226</v>
      </c>
      <c r="E133" s="211"/>
      <c r="F133" s="211">
        <v>0</v>
      </c>
      <c r="G133" s="211"/>
      <c r="I133" s="7">
        <v>8.25</v>
      </c>
      <c r="J133" s="7">
        <v>7.7</v>
      </c>
      <c r="K133" s="7">
        <v>7.4</v>
      </c>
      <c r="L133" s="7">
        <v>8.4499999999999993</v>
      </c>
      <c r="M133" s="7">
        <v>8.6999999999999993</v>
      </c>
      <c r="N133" s="7">
        <v>8.6</v>
      </c>
      <c r="O133" s="7">
        <v>8.35</v>
      </c>
      <c r="Z133" s="7">
        <f t="shared" si="7"/>
        <v>57.45</v>
      </c>
      <c r="AA133" s="7">
        <f t="shared" si="5"/>
        <v>0.91773162939297126</v>
      </c>
    </row>
    <row r="134" spans="1:29" s="7" customFormat="1">
      <c r="A134" s="170">
        <v>46063</v>
      </c>
      <c r="B134" s="173">
        <v>101</v>
      </c>
      <c r="C134" s="173">
        <v>67.3</v>
      </c>
      <c r="D134" s="173">
        <v>40226</v>
      </c>
      <c r="E134" s="44"/>
      <c r="F134" s="44">
        <v>0</v>
      </c>
      <c r="G134" s="44"/>
      <c r="H134" s="44"/>
      <c r="I134" s="44">
        <v>8.8000000000000007</v>
      </c>
      <c r="J134" s="44">
        <v>8.4499999999999993</v>
      </c>
      <c r="K134" s="44">
        <v>8.3000000000000007</v>
      </c>
      <c r="L134" s="44">
        <v>8.4499999999999993</v>
      </c>
      <c r="M134" s="44">
        <v>6.5</v>
      </c>
      <c r="N134" s="44">
        <v>8.1999999999999993</v>
      </c>
      <c r="O134" s="44">
        <v>9</v>
      </c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>
        <f t="shared" si="7"/>
        <v>57.7</v>
      </c>
      <c r="AA134" s="44">
        <f t="shared" si="5"/>
        <v>0.85735512630014865</v>
      </c>
      <c r="AB134" s="44"/>
      <c r="AC134" s="44"/>
    </row>
    <row r="135" spans="1:29" s="7" customFormat="1">
      <c r="A135" s="35">
        <v>46063</v>
      </c>
      <c r="B135" s="37">
        <v>102</v>
      </c>
      <c r="C135" s="210">
        <f>CUAJADA!BQ32</f>
        <v>322.5</v>
      </c>
      <c r="D135" s="37">
        <v>100226</v>
      </c>
      <c r="E135" s="211"/>
      <c r="F135" s="211">
        <v>0</v>
      </c>
      <c r="G135" s="211"/>
      <c r="I135" s="7">
        <v>322.5</v>
      </c>
      <c r="Z135" s="7">
        <f t="shared" si="7"/>
        <v>322.5</v>
      </c>
      <c r="AA135" s="7">
        <f t="shared" si="5"/>
        <v>1</v>
      </c>
    </row>
    <row r="136" spans="1:29" s="7" customFormat="1">
      <c r="A136" s="35">
        <v>46064</v>
      </c>
      <c r="B136" s="37">
        <v>103</v>
      </c>
      <c r="C136" s="210">
        <f>CUAJADA!BQ33</f>
        <v>255.7</v>
      </c>
      <c r="D136" s="37">
        <v>110226</v>
      </c>
      <c r="E136" s="211"/>
      <c r="F136" s="211">
        <v>0</v>
      </c>
      <c r="G136" s="211"/>
      <c r="I136" s="7">
        <v>255.7</v>
      </c>
      <c r="Z136" s="7">
        <f t="shared" si="7"/>
        <v>255.7</v>
      </c>
      <c r="AA136" s="7">
        <f t="shared" si="5"/>
        <v>1</v>
      </c>
    </row>
    <row r="137" spans="1:29" s="7" customFormat="1">
      <c r="A137" s="35">
        <v>46065</v>
      </c>
      <c r="B137" s="37">
        <v>104</v>
      </c>
      <c r="C137" s="210">
        <f>CUAJADA!BQ34</f>
        <v>271.64999999999998</v>
      </c>
      <c r="D137" s="37">
        <v>120226</v>
      </c>
      <c r="E137" s="211"/>
      <c r="F137" s="211">
        <v>0</v>
      </c>
      <c r="G137" s="211"/>
      <c r="I137" s="7">
        <v>271.64999999999998</v>
      </c>
      <c r="Z137" s="7">
        <f t="shared" si="7"/>
        <v>271.64999999999998</v>
      </c>
      <c r="AA137" s="7">
        <f t="shared" si="5"/>
        <v>1</v>
      </c>
    </row>
    <row r="138" spans="1:29" s="7" customFormat="1">
      <c r="A138" s="35">
        <v>46071</v>
      </c>
      <c r="B138" s="37">
        <v>105</v>
      </c>
      <c r="C138" s="37"/>
      <c r="D138" s="37">
        <v>180226</v>
      </c>
      <c r="E138" s="7" t="s">
        <v>548</v>
      </c>
      <c r="Z138" s="7">
        <f t="shared" ref="Z138:Z142" si="8">+SUM(I138:Q138)</f>
        <v>0</v>
      </c>
      <c r="AA138" s="7" t="e">
        <f t="shared" ref="AA138:AA142" si="9">+Z138/C138</f>
        <v>#DIV/0!</v>
      </c>
    </row>
    <row r="139" spans="1:29" s="7" customFormat="1">
      <c r="A139" s="35">
        <v>46072</v>
      </c>
      <c r="B139" s="37">
        <v>106</v>
      </c>
      <c r="C139" s="37">
        <v>30</v>
      </c>
      <c r="D139" s="37">
        <v>140226</v>
      </c>
      <c r="I139" s="7">
        <v>8.9</v>
      </c>
      <c r="J139" s="7">
        <v>8.6</v>
      </c>
      <c r="K139" s="7">
        <v>8.6</v>
      </c>
      <c r="L139" s="7">
        <v>7.15</v>
      </c>
      <c r="M139" s="7">
        <v>6.65</v>
      </c>
      <c r="N139" s="7">
        <v>6.85</v>
      </c>
      <c r="Z139" s="7">
        <f t="shared" si="8"/>
        <v>46.75</v>
      </c>
      <c r="AA139" s="7">
        <f t="shared" si="9"/>
        <v>1.5583333333333333</v>
      </c>
    </row>
    <row r="140" spans="1:29" s="7" customFormat="1">
      <c r="A140" s="35">
        <v>46072</v>
      </c>
      <c r="B140" s="37">
        <v>107</v>
      </c>
      <c r="C140" s="37">
        <v>30</v>
      </c>
      <c r="D140" s="37">
        <v>140226</v>
      </c>
      <c r="I140" s="7">
        <v>6</v>
      </c>
      <c r="J140" s="7">
        <v>6.4</v>
      </c>
      <c r="K140" s="7">
        <v>6.1</v>
      </c>
      <c r="Z140" s="7">
        <f t="shared" si="8"/>
        <v>18.5</v>
      </c>
      <c r="AA140" s="7">
        <f t="shared" si="9"/>
        <v>0.6166666666666667</v>
      </c>
    </row>
    <row r="141" spans="1:29" s="7" customFormat="1">
      <c r="A141" s="35">
        <v>46072</v>
      </c>
      <c r="B141" s="37">
        <v>108</v>
      </c>
      <c r="C141" s="37">
        <v>30</v>
      </c>
      <c r="D141" s="37">
        <v>140226</v>
      </c>
      <c r="I141" s="7">
        <v>6.35</v>
      </c>
      <c r="J141" s="7">
        <v>6.55</v>
      </c>
      <c r="K141" s="7">
        <v>5.8</v>
      </c>
      <c r="Z141" s="7">
        <f t="shared" si="8"/>
        <v>18.7</v>
      </c>
      <c r="AA141" s="7">
        <f t="shared" si="9"/>
        <v>0.62333333333333329</v>
      </c>
    </row>
    <row r="142" spans="1:29" s="7" customFormat="1">
      <c r="A142" s="35">
        <v>46072</v>
      </c>
      <c r="B142" s="37">
        <v>109</v>
      </c>
      <c r="C142" s="37">
        <f>53+7.12</f>
        <v>60.12</v>
      </c>
      <c r="D142" s="37">
        <v>140226</v>
      </c>
      <c r="I142" s="7">
        <v>7.8</v>
      </c>
      <c r="J142" s="7">
        <v>7.25</v>
      </c>
      <c r="K142" s="7">
        <v>8</v>
      </c>
      <c r="L142" s="7">
        <v>7.9</v>
      </c>
      <c r="M142" s="7">
        <v>7.3</v>
      </c>
      <c r="N142" s="7">
        <v>8</v>
      </c>
      <c r="Z142" s="7">
        <f t="shared" si="8"/>
        <v>46.25</v>
      </c>
      <c r="AA142" s="7">
        <f t="shared" si="9"/>
        <v>0.76929474384564211</v>
      </c>
    </row>
    <row r="143" spans="1:29" s="7" customFormat="1">
      <c r="A143" s="35">
        <v>46072</v>
      </c>
      <c r="B143" s="37">
        <v>110</v>
      </c>
      <c r="C143" s="37">
        <f>30+30</f>
        <v>60</v>
      </c>
      <c r="D143" s="37">
        <v>140226</v>
      </c>
      <c r="I143" s="7">
        <v>7.45</v>
      </c>
      <c r="J143" s="7">
        <v>7.2</v>
      </c>
      <c r="K143" s="7">
        <v>7.6</v>
      </c>
      <c r="L143" s="7">
        <v>6.55</v>
      </c>
      <c r="M143" s="7">
        <v>7.75</v>
      </c>
      <c r="N143" s="7">
        <v>7.1</v>
      </c>
      <c r="Z143" s="7">
        <f t="shared" ref="Z143:Z150" si="10">+SUM(I143:Q143)</f>
        <v>43.65</v>
      </c>
      <c r="AA143" s="7">
        <f t="shared" ref="AA143:AA150" si="11">+Z143/C143</f>
        <v>0.72749999999999992</v>
      </c>
    </row>
    <row r="144" spans="1:29" s="7" customFormat="1">
      <c r="A144" s="35">
        <v>46072</v>
      </c>
      <c r="B144" s="37">
        <v>111</v>
      </c>
      <c r="C144" s="37">
        <v>60</v>
      </c>
      <c r="D144" s="37">
        <v>140226</v>
      </c>
      <c r="I144" s="7">
        <v>7.85</v>
      </c>
      <c r="J144" s="7">
        <v>7.25</v>
      </c>
      <c r="K144" s="7">
        <v>7.95</v>
      </c>
      <c r="L144" s="7">
        <v>7.2</v>
      </c>
      <c r="M144" s="7">
        <v>7.95</v>
      </c>
      <c r="N144" s="7">
        <v>8.25</v>
      </c>
      <c r="Z144" s="7">
        <f t="shared" si="10"/>
        <v>46.45</v>
      </c>
      <c r="AA144" s="7">
        <f t="shared" si="11"/>
        <v>0.77416666666666667</v>
      </c>
    </row>
    <row r="145" spans="1:27" s="7" customFormat="1">
      <c r="A145" s="35">
        <v>46072</v>
      </c>
      <c r="B145" s="37">
        <v>112</v>
      </c>
      <c r="C145" s="37">
        <f>21+39</f>
        <v>60</v>
      </c>
      <c r="D145" s="37" t="s">
        <v>545</v>
      </c>
      <c r="I145" s="7">
        <v>6.15</v>
      </c>
      <c r="J145" s="7">
        <v>8.0500000000000007</v>
      </c>
      <c r="K145" s="7">
        <v>8.15</v>
      </c>
      <c r="L145" s="7">
        <v>7.8</v>
      </c>
      <c r="M145" s="7">
        <v>7.85</v>
      </c>
      <c r="N145" s="7">
        <v>7.8</v>
      </c>
      <c r="Z145" s="7">
        <f t="shared" si="10"/>
        <v>45.8</v>
      </c>
      <c r="AA145" s="7">
        <f t="shared" si="11"/>
        <v>0.76333333333333331</v>
      </c>
    </row>
    <row r="146" spans="1:27" s="7" customFormat="1">
      <c r="A146" s="35">
        <v>46073</v>
      </c>
      <c r="B146" s="37">
        <v>113</v>
      </c>
      <c r="C146" s="37">
        <f>30+30</f>
        <v>60</v>
      </c>
      <c r="D146" s="37" t="s">
        <v>558</v>
      </c>
      <c r="I146" s="7">
        <v>4.7</v>
      </c>
      <c r="J146" s="7">
        <v>6.95</v>
      </c>
      <c r="K146" s="7">
        <v>7.15</v>
      </c>
      <c r="L146" s="7">
        <v>6.2</v>
      </c>
      <c r="M146" s="7">
        <v>7.4</v>
      </c>
      <c r="N146" s="7">
        <v>7.5</v>
      </c>
      <c r="Z146" s="7">
        <f t="shared" si="10"/>
        <v>39.9</v>
      </c>
      <c r="AA146" s="7">
        <f t="shared" si="11"/>
        <v>0.66499999999999992</v>
      </c>
    </row>
    <row r="147" spans="1:27" s="7" customFormat="1">
      <c r="A147" s="35">
        <v>46073</v>
      </c>
      <c r="B147" s="37">
        <v>114</v>
      </c>
      <c r="C147" s="37">
        <f>30+30</f>
        <v>60</v>
      </c>
      <c r="D147" s="37" t="s">
        <v>559</v>
      </c>
      <c r="I147" s="7">
        <v>7.25</v>
      </c>
      <c r="J147" s="7">
        <v>7.05</v>
      </c>
      <c r="K147" s="7">
        <v>6.85</v>
      </c>
      <c r="L147" s="7">
        <v>6</v>
      </c>
      <c r="M147" s="7">
        <v>6.1</v>
      </c>
      <c r="N147" s="7">
        <v>7.4</v>
      </c>
      <c r="Z147" s="7">
        <f t="shared" si="10"/>
        <v>40.65</v>
      </c>
      <c r="AA147" s="7">
        <f t="shared" si="11"/>
        <v>0.67749999999999999</v>
      </c>
    </row>
    <row r="148" spans="1:27" s="7" customFormat="1">
      <c r="A148" s="35">
        <v>46073</v>
      </c>
      <c r="B148" s="37">
        <v>115</v>
      </c>
      <c r="C148" s="37">
        <f>30+30</f>
        <v>60</v>
      </c>
      <c r="D148" s="37" t="s">
        <v>545</v>
      </c>
      <c r="I148" s="7">
        <v>6.15</v>
      </c>
      <c r="J148" s="7">
        <v>7.3</v>
      </c>
      <c r="K148" s="7">
        <v>8.25</v>
      </c>
      <c r="L148" s="7">
        <v>6.35</v>
      </c>
      <c r="M148" s="7">
        <v>8.25</v>
      </c>
      <c r="N148" s="7">
        <v>8.15</v>
      </c>
      <c r="Z148" s="7">
        <f t="shared" si="10"/>
        <v>44.449999999999996</v>
      </c>
      <c r="AA148" s="7">
        <f t="shared" si="11"/>
        <v>0.74083333333333323</v>
      </c>
    </row>
    <row r="149" spans="1:27" s="7" customFormat="1">
      <c r="A149" s="35">
        <v>46073</v>
      </c>
      <c r="B149" s="37">
        <v>116</v>
      </c>
      <c r="C149" s="37"/>
      <c r="D149" s="37" t="s">
        <v>555</v>
      </c>
    </row>
    <row r="150" spans="1:27" s="7" customFormat="1">
      <c r="A150" s="35">
        <v>46073</v>
      </c>
      <c r="B150" s="37">
        <v>117</v>
      </c>
      <c r="C150" s="37">
        <f>30+30</f>
        <v>60</v>
      </c>
      <c r="D150" s="37" t="s">
        <v>545</v>
      </c>
      <c r="I150" s="7">
        <v>5.7</v>
      </c>
      <c r="J150" s="7">
        <v>8.4</v>
      </c>
      <c r="K150" s="7">
        <v>8.25</v>
      </c>
      <c r="L150" s="7">
        <v>8.5500000000000007</v>
      </c>
      <c r="M150" s="7">
        <v>8.5500000000000007</v>
      </c>
      <c r="N150" s="7">
        <v>8.6999999999999993</v>
      </c>
      <c r="Z150" s="7">
        <f t="shared" si="10"/>
        <v>48.150000000000006</v>
      </c>
      <c r="AA150" s="7">
        <f t="shared" si="11"/>
        <v>0.8025000000000001</v>
      </c>
    </row>
    <row r="151" spans="1:27" s="7" customFormat="1">
      <c r="A151" s="35">
        <v>46073</v>
      </c>
      <c r="B151" s="37">
        <v>118</v>
      </c>
      <c r="C151" s="37">
        <v>60</v>
      </c>
      <c r="D151" s="37">
        <v>180226</v>
      </c>
      <c r="I151" s="7">
        <v>8.65</v>
      </c>
      <c r="J151" s="7">
        <v>8.4499999999999993</v>
      </c>
      <c r="K151" s="7">
        <v>8.6999999999999993</v>
      </c>
      <c r="L151" s="7">
        <v>9</v>
      </c>
      <c r="M151" s="7">
        <v>8.4499999999999993</v>
      </c>
      <c r="N151" s="7">
        <v>8.8000000000000007</v>
      </c>
      <c r="Z151" s="7">
        <f t="shared" ref="Z151:Z158" si="12">+SUM(I151:Q151)</f>
        <v>52.05</v>
      </c>
      <c r="AA151" s="7">
        <f t="shared" ref="AA151:AA158" si="13">+Z151/C151</f>
        <v>0.86749999999999994</v>
      </c>
    </row>
    <row r="152" spans="1:27" s="7" customFormat="1">
      <c r="A152" s="35">
        <v>46074</v>
      </c>
      <c r="B152" s="37">
        <v>119</v>
      </c>
      <c r="C152" s="37">
        <v>67</v>
      </c>
      <c r="D152" s="37">
        <v>180226</v>
      </c>
      <c r="Z152" s="7">
        <f t="shared" si="12"/>
        <v>0</v>
      </c>
      <c r="AA152" s="7">
        <f t="shared" si="13"/>
        <v>0</v>
      </c>
    </row>
    <row r="153" spans="1:27" s="7" customFormat="1">
      <c r="A153" s="35">
        <v>46074</v>
      </c>
      <c r="B153" s="37">
        <v>120</v>
      </c>
      <c r="C153" s="37">
        <v>50.45</v>
      </c>
      <c r="D153" s="37">
        <v>180226</v>
      </c>
      <c r="Z153" s="7">
        <f t="shared" si="12"/>
        <v>0</v>
      </c>
      <c r="AA153" s="7">
        <f t="shared" si="13"/>
        <v>0</v>
      </c>
    </row>
    <row r="154" spans="1:27" s="7" customFormat="1">
      <c r="B154" s="37">
        <v>121</v>
      </c>
      <c r="C154" s="37"/>
      <c r="D154" s="37" t="s">
        <v>548</v>
      </c>
      <c r="Z154" s="7">
        <f t="shared" si="12"/>
        <v>0</v>
      </c>
      <c r="AA154" s="7" t="e">
        <f t="shared" si="13"/>
        <v>#DIV/0!</v>
      </c>
    </row>
    <row r="155" spans="1:27" s="7" customFormat="1">
      <c r="A155" s="35">
        <v>46077</v>
      </c>
      <c r="B155" s="37">
        <v>122</v>
      </c>
      <c r="C155" s="37">
        <v>60</v>
      </c>
      <c r="D155" s="37">
        <v>210226</v>
      </c>
      <c r="I155" s="7">
        <v>8.5500000000000007</v>
      </c>
      <c r="J155" s="7">
        <v>8.6999999999999993</v>
      </c>
      <c r="K155" s="7">
        <v>8.3000000000000007</v>
      </c>
      <c r="L155" s="7">
        <v>8.15</v>
      </c>
      <c r="M155" s="7">
        <v>8.5</v>
      </c>
      <c r="N155" s="7">
        <v>8.65</v>
      </c>
      <c r="Z155" s="7">
        <f t="shared" si="12"/>
        <v>50.85</v>
      </c>
      <c r="AA155" s="7">
        <f t="shared" si="13"/>
        <v>0.84750000000000003</v>
      </c>
    </row>
    <row r="156" spans="1:27" s="7" customFormat="1">
      <c r="A156" s="35">
        <v>46077</v>
      </c>
      <c r="B156" s="37">
        <v>123</v>
      </c>
      <c r="C156" s="37">
        <v>60</v>
      </c>
      <c r="D156" s="37">
        <v>210226</v>
      </c>
      <c r="I156" s="7">
        <v>8.6999999999999993</v>
      </c>
      <c r="J156" s="7">
        <v>5.95</v>
      </c>
      <c r="K156" s="7">
        <v>7.95</v>
      </c>
      <c r="L156" s="7">
        <v>8.1</v>
      </c>
      <c r="M156" s="7">
        <v>7.75</v>
      </c>
      <c r="N156" s="7">
        <v>8.5</v>
      </c>
      <c r="Z156" s="7">
        <f t="shared" si="12"/>
        <v>46.949999999999996</v>
      </c>
      <c r="AA156" s="7">
        <f t="shared" si="13"/>
        <v>0.78249999999999997</v>
      </c>
    </row>
    <row r="157" spans="1:27" s="7" customFormat="1">
      <c r="A157" s="35">
        <v>46077</v>
      </c>
      <c r="B157" s="37">
        <v>124</v>
      </c>
      <c r="C157" s="37">
        <v>24.3</v>
      </c>
      <c r="D157" s="37">
        <v>210226</v>
      </c>
      <c r="I157" s="7">
        <v>3.1</v>
      </c>
      <c r="J157" s="7">
        <v>8.3000000000000007</v>
      </c>
      <c r="K157" s="7">
        <v>8.35</v>
      </c>
      <c r="Z157" s="7">
        <f t="shared" si="12"/>
        <v>19.75</v>
      </c>
      <c r="AA157" s="7">
        <f t="shared" si="13"/>
        <v>0.81275720164609055</v>
      </c>
    </row>
    <row r="158" spans="1:27" s="7" customFormat="1">
      <c r="B158" s="37"/>
      <c r="C158" s="37"/>
      <c r="Z158" s="7">
        <f t="shared" si="12"/>
        <v>0</v>
      </c>
      <c r="AA158" s="7" t="e">
        <f t="shared" si="13"/>
        <v>#DIV/0!</v>
      </c>
    </row>
    <row r="159" spans="1:27" s="7" customFormat="1">
      <c r="B159" s="37"/>
      <c r="C159" s="37"/>
    </row>
    <row r="160" spans="1:27" s="7" customFormat="1">
      <c r="B160" s="37"/>
      <c r="C160" s="37"/>
    </row>
    <row r="161" spans="2:27" s="7" customFormat="1">
      <c r="B161" s="37"/>
      <c r="C161" s="37"/>
    </row>
    <row r="162" spans="2:27" s="7" customFormat="1">
      <c r="B162" s="37"/>
      <c r="C162" s="37"/>
    </row>
    <row r="163" spans="2:27" s="7" customFormat="1">
      <c r="B163" s="37"/>
      <c r="C163" s="37"/>
    </row>
    <row r="164" spans="2:27" s="7" customFormat="1">
      <c r="B164" s="37"/>
      <c r="C164" s="37"/>
    </row>
    <row r="165" spans="2:27" s="7" customFormat="1">
      <c r="B165" s="37"/>
      <c r="C165" s="37"/>
    </row>
    <row r="166" spans="2:27" s="7" customFormat="1">
      <c r="B166" s="37"/>
      <c r="C166" s="37"/>
    </row>
    <row r="167" spans="2:27" s="7" customFormat="1">
      <c r="B167" s="37"/>
      <c r="C167" s="37"/>
    </row>
    <row r="168" spans="2:27" s="7" customFormat="1">
      <c r="B168" s="37"/>
      <c r="C168" s="37"/>
    </row>
    <row r="169" spans="2:27" s="7" customFormat="1">
      <c r="B169" s="37"/>
      <c r="C169" s="37"/>
    </row>
    <row r="170" spans="2:27" s="7" customFormat="1">
      <c r="B170" s="37"/>
      <c r="C170" s="37"/>
    </row>
    <row r="171" spans="2:27" s="7" customFormat="1">
      <c r="B171" s="37"/>
      <c r="C171" s="37"/>
    </row>
    <row r="172" spans="2:27" s="7" customFormat="1">
      <c r="B172" s="37"/>
      <c r="C172" s="37"/>
      <c r="Z172" s="7">
        <f t="shared" si="7"/>
        <v>0</v>
      </c>
      <c r="AA172" s="7" t="e">
        <f t="shared" si="5"/>
        <v>#DIV/0!</v>
      </c>
    </row>
    <row r="173" spans="2:27">
      <c r="AA173" s="7" t="e">
        <f t="shared" si="5"/>
        <v>#DIV/0!</v>
      </c>
    </row>
  </sheetData>
  <phoneticPr fontId="34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9304B-FEBD-408D-A4EC-96890D4ABCD2}">
  <dimension ref="A1:L51"/>
  <sheetViews>
    <sheetView zoomScale="98" zoomScaleNormal="98" workbookViewId="0">
      <pane ySplit="1" topLeftCell="A32" activePane="bottomLeft" state="frozen"/>
      <selection pane="bottomLeft" activeCell="A50" sqref="A50"/>
    </sheetView>
  </sheetViews>
  <sheetFormatPr baseColWidth="10" defaultRowHeight="14.4"/>
  <cols>
    <col min="1" max="1" width="14.88671875" customWidth="1"/>
    <col min="2" max="2" width="15.44140625" customWidth="1"/>
    <col min="3" max="4" width="15.109375" customWidth="1"/>
    <col min="5" max="6" width="15.33203125" customWidth="1"/>
    <col min="7" max="8" width="17" customWidth="1"/>
    <col min="9" max="9" width="18.21875" customWidth="1"/>
    <col min="10" max="10" width="14.5546875" customWidth="1"/>
    <col min="11" max="11" width="21" customWidth="1"/>
  </cols>
  <sheetData>
    <row r="1" spans="1:12" ht="30.6" customHeight="1">
      <c r="A1" s="185" t="s">
        <v>267</v>
      </c>
      <c r="B1" s="182" t="s">
        <v>425</v>
      </c>
      <c r="C1" s="183" t="s">
        <v>442</v>
      </c>
      <c r="D1" s="183" t="s">
        <v>476</v>
      </c>
      <c r="E1" s="183" t="s">
        <v>443</v>
      </c>
      <c r="F1" s="182" t="s">
        <v>462</v>
      </c>
      <c r="G1" s="183" t="s">
        <v>444</v>
      </c>
      <c r="H1" s="183" t="s">
        <v>554</v>
      </c>
      <c r="I1" s="183" t="s">
        <v>445</v>
      </c>
      <c r="J1" s="184" t="s">
        <v>2</v>
      </c>
      <c r="K1" s="185" t="s">
        <v>433</v>
      </c>
      <c r="L1" s="186" t="s">
        <v>446</v>
      </c>
    </row>
    <row r="2" spans="1:12">
      <c r="A2" s="35">
        <f>CUAJADA!A2</f>
        <v>46003</v>
      </c>
      <c r="B2" s="7">
        <f>CUAJADA!C2</f>
        <v>2700</v>
      </c>
      <c r="C2" s="91">
        <f>CUAJADA!BQ2</f>
        <v>0</v>
      </c>
      <c r="D2" s="91"/>
      <c r="E2" s="7"/>
      <c r="F2" s="7"/>
      <c r="G2" s="7"/>
      <c r="H2" s="7"/>
      <c r="I2" s="7"/>
      <c r="J2" s="7"/>
      <c r="K2" s="7"/>
      <c r="L2" s="7" t="e">
        <f t="shared" ref="L2:L29" si="0">B2/I2</f>
        <v>#DIV/0!</v>
      </c>
    </row>
    <row r="3" spans="1:12">
      <c r="A3" s="35">
        <f>CUAJADA!A3</f>
        <v>46004</v>
      </c>
      <c r="B3" s="7">
        <f>CUAJADA!C3</f>
        <v>2900</v>
      </c>
      <c r="C3" s="91">
        <f>CUAJADA!BQ3</f>
        <v>0</v>
      </c>
      <c r="D3" s="91"/>
      <c r="E3" s="7"/>
      <c r="F3" s="7"/>
      <c r="G3" s="7"/>
      <c r="H3" s="7"/>
      <c r="I3" s="7"/>
      <c r="J3" s="7"/>
      <c r="K3" s="7"/>
      <c r="L3" s="7" t="e">
        <f t="shared" si="0"/>
        <v>#DIV/0!</v>
      </c>
    </row>
    <row r="4" spans="1:12">
      <c r="A4" s="35">
        <f>CUAJADA!A4</f>
        <v>46008</v>
      </c>
      <c r="B4" s="7">
        <f>CUAJADA!C4</f>
        <v>3000</v>
      </c>
      <c r="C4" s="91">
        <f>CUAJADA!BQ4</f>
        <v>0</v>
      </c>
      <c r="D4" s="91"/>
      <c r="E4" s="7"/>
      <c r="F4" s="7"/>
      <c r="G4" s="7"/>
      <c r="H4" s="7"/>
      <c r="I4" s="7"/>
      <c r="J4" s="7"/>
      <c r="K4" s="7"/>
      <c r="L4" s="7" t="e">
        <f t="shared" si="0"/>
        <v>#DIV/0!</v>
      </c>
    </row>
    <row r="5" spans="1:12">
      <c r="A5" s="35">
        <f>CUAJADA!A5</f>
        <v>46009</v>
      </c>
      <c r="B5" s="7">
        <f>CUAJADA!C5</f>
        <v>2900</v>
      </c>
      <c r="C5" s="91">
        <f>CUAJADA!BQ5</f>
        <v>0</v>
      </c>
      <c r="D5" s="91"/>
      <c r="E5" s="7"/>
      <c r="F5" s="7"/>
      <c r="G5" s="7"/>
      <c r="H5" s="7"/>
      <c r="I5" s="7"/>
      <c r="J5" s="7"/>
      <c r="K5" s="7"/>
      <c r="L5" s="7" t="e">
        <f t="shared" si="0"/>
        <v>#DIV/0!</v>
      </c>
    </row>
    <row r="6" spans="1:12">
      <c r="A6" s="35">
        <f>CUAJADA!A6</f>
        <v>46010</v>
      </c>
      <c r="B6" s="7">
        <f>CUAJADA!C6</f>
        <v>2750</v>
      </c>
      <c r="C6" s="91">
        <f>CUAJADA!BQ6</f>
        <v>0</v>
      </c>
      <c r="D6" s="91"/>
      <c r="E6" s="7"/>
      <c r="F6" s="7"/>
      <c r="G6" s="7"/>
      <c r="H6" s="7"/>
      <c r="I6" s="7"/>
      <c r="J6" s="7"/>
      <c r="K6" s="7"/>
      <c r="L6" s="7" t="e">
        <f t="shared" si="0"/>
        <v>#DIV/0!</v>
      </c>
    </row>
    <row r="7" spans="1:12">
      <c r="A7" s="35">
        <f>CUAJADA!A7</f>
        <v>46011</v>
      </c>
      <c r="B7" s="7">
        <f>CUAJADA!C7</f>
        <v>2820</v>
      </c>
      <c r="C7" s="91">
        <f>CUAJADA!BQ7</f>
        <v>0</v>
      </c>
      <c r="D7" s="91"/>
      <c r="E7" s="7"/>
      <c r="F7" s="7"/>
      <c r="G7" s="7"/>
      <c r="H7" s="7"/>
      <c r="I7" s="7"/>
      <c r="J7" s="7"/>
      <c r="K7" s="7"/>
      <c r="L7" s="7" t="e">
        <f t="shared" si="0"/>
        <v>#DIV/0!</v>
      </c>
    </row>
    <row r="8" spans="1:12">
      <c r="A8" s="35">
        <f>CUAJADA!A8</f>
        <v>46014</v>
      </c>
      <c r="B8" s="7">
        <f>CUAJADA!C8</f>
        <v>3000</v>
      </c>
      <c r="C8" s="91">
        <f>CUAJADA!BQ8</f>
        <v>0</v>
      </c>
      <c r="D8" s="91"/>
      <c r="E8" s="7"/>
      <c r="F8" s="7"/>
      <c r="G8" s="7"/>
      <c r="H8" s="7"/>
      <c r="I8" s="7"/>
      <c r="J8" s="7"/>
      <c r="K8" s="7"/>
      <c r="L8" s="7" t="e">
        <f t="shared" si="0"/>
        <v>#DIV/0!</v>
      </c>
    </row>
    <row r="9" spans="1:12">
      <c r="A9" s="35">
        <f>CUAJADA!A9</f>
        <v>46030</v>
      </c>
      <c r="B9" s="7">
        <f>CUAJADA!C9</f>
        <v>3000</v>
      </c>
      <c r="C9" s="91">
        <f>CUAJADA!BQ9</f>
        <v>417.6</v>
      </c>
      <c r="D9" s="91"/>
      <c r="E9" s="7"/>
      <c r="F9" s="7"/>
      <c r="G9" s="7"/>
      <c r="H9" s="7"/>
      <c r="I9" s="7"/>
      <c r="J9" s="7"/>
      <c r="K9" s="7"/>
      <c r="L9" s="7" t="e">
        <f t="shared" si="0"/>
        <v>#DIV/0!</v>
      </c>
    </row>
    <row r="10" spans="1:12">
      <c r="A10" s="35">
        <f>CUAJADA!A10</f>
        <v>46031</v>
      </c>
      <c r="B10" s="7">
        <f>CUAJADA!C10</f>
        <v>3000</v>
      </c>
      <c r="C10" s="91">
        <f>CUAJADA!BQ10</f>
        <v>420.58000000000004</v>
      </c>
      <c r="D10" s="91"/>
      <c r="E10" s="7"/>
      <c r="F10" s="7"/>
      <c r="G10" s="7"/>
      <c r="H10" s="7"/>
      <c r="I10" s="7"/>
      <c r="J10" s="7"/>
      <c r="K10" s="7"/>
      <c r="L10" s="7" t="e">
        <f t="shared" si="0"/>
        <v>#DIV/0!</v>
      </c>
    </row>
    <row r="11" spans="1:12">
      <c r="A11" s="35">
        <f>CUAJADA!A11</f>
        <v>46032</v>
      </c>
      <c r="B11" s="7">
        <f>CUAJADA!C11</f>
        <v>2750</v>
      </c>
      <c r="C11" s="91">
        <f>CUAJADA!BQ11</f>
        <v>382.35</v>
      </c>
      <c r="D11" s="91"/>
      <c r="E11" s="7">
        <f>SUM(HILADO!C44:C47)</f>
        <v>211.41</v>
      </c>
      <c r="F11" s="7"/>
      <c r="G11" s="7"/>
      <c r="H11" s="7"/>
      <c r="I11" s="7"/>
      <c r="J11" s="7"/>
      <c r="K11" s="7"/>
      <c r="L11" s="7" t="e">
        <f t="shared" si="0"/>
        <v>#DIV/0!</v>
      </c>
    </row>
    <row r="12" spans="1:12">
      <c r="A12" s="35">
        <f>CUAJADA!A12</f>
        <v>46035</v>
      </c>
      <c r="B12" s="7">
        <f>CUAJADA!C12</f>
        <v>2850</v>
      </c>
      <c r="C12" s="91">
        <f>CUAJADA!BQ12</f>
        <v>406.14999999999992</v>
      </c>
      <c r="D12" s="91"/>
      <c r="E12" s="7"/>
      <c r="F12" s="7"/>
      <c r="G12" s="7"/>
      <c r="H12" s="7"/>
      <c r="I12" s="7"/>
      <c r="J12" s="7"/>
      <c r="K12" s="7"/>
      <c r="L12" s="7" t="e">
        <f t="shared" si="0"/>
        <v>#DIV/0!</v>
      </c>
    </row>
    <row r="13" spans="1:12">
      <c r="A13" s="35">
        <f>CUAJADA!A13</f>
        <v>46036</v>
      </c>
      <c r="B13" s="7">
        <f>CUAJADA!C13</f>
        <v>3100</v>
      </c>
      <c r="C13" s="91">
        <f>CUAJADA!BQ13</f>
        <v>482.15</v>
      </c>
      <c r="D13" s="91"/>
      <c r="E13" s="7"/>
      <c r="F13" s="7"/>
      <c r="G13" s="7"/>
      <c r="H13" s="7"/>
      <c r="I13" s="7"/>
      <c r="J13" s="7"/>
      <c r="K13" s="7"/>
      <c r="L13" s="7" t="e">
        <f t="shared" si="0"/>
        <v>#DIV/0!</v>
      </c>
    </row>
    <row r="14" spans="1:12">
      <c r="A14" s="35">
        <f>CUAJADA!A14</f>
        <v>46037</v>
      </c>
      <c r="B14" s="7">
        <f>CUAJADA!C14</f>
        <v>2950</v>
      </c>
      <c r="C14" s="91">
        <f>CUAJADA!BQ14</f>
        <v>347.2</v>
      </c>
      <c r="D14" s="91"/>
      <c r="E14" s="7"/>
      <c r="F14" s="7"/>
      <c r="G14" s="7"/>
      <c r="H14" s="7"/>
      <c r="I14" s="7"/>
      <c r="J14" s="7"/>
      <c r="K14" s="7"/>
      <c r="L14" s="7" t="e">
        <f t="shared" si="0"/>
        <v>#DIV/0!</v>
      </c>
    </row>
    <row r="15" spans="1:12">
      <c r="A15" s="35">
        <f>CUAJADA!A15</f>
        <v>46038</v>
      </c>
      <c r="B15" s="7">
        <f>CUAJADA!C15</f>
        <v>3000</v>
      </c>
      <c r="C15" s="91">
        <f>CUAJADA!BQ15</f>
        <v>350.7</v>
      </c>
      <c r="D15" s="91"/>
      <c r="E15" s="7"/>
      <c r="F15" s="7"/>
      <c r="G15" s="7"/>
      <c r="H15" s="7"/>
      <c r="I15" s="7"/>
      <c r="J15" s="7"/>
      <c r="K15" s="7"/>
      <c r="L15" s="7" t="e">
        <f t="shared" si="0"/>
        <v>#DIV/0!</v>
      </c>
    </row>
    <row r="16" spans="1:12">
      <c r="A16" s="35">
        <f>CUAJADA!A16</f>
        <v>46039</v>
      </c>
      <c r="B16" s="7">
        <f>CUAJADA!C16</f>
        <v>3100</v>
      </c>
      <c r="C16" s="91">
        <f>CUAJADA!BQ16</f>
        <v>456.55</v>
      </c>
      <c r="D16" s="91"/>
      <c r="E16" s="7"/>
      <c r="F16" s="7"/>
      <c r="G16" s="7"/>
      <c r="H16" s="7"/>
      <c r="I16" s="7"/>
      <c r="J16" s="7"/>
      <c r="K16" s="7"/>
      <c r="L16" s="7" t="e">
        <f t="shared" si="0"/>
        <v>#DIV/0!</v>
      </c>
    </row>
    <row r="17" spans="1:12">
      <c r="A17" s="35">
        <f>CUAJADA!A17</f>
        <v>46042</v>
      </c>
      <c r="B17" s="7">
        <f>CUAJADA!C17</f>
        <v>3000</v>
      </c>
      <c r="C17" s="91">
        <f>CUAJADA!BQ17</f>
        <v>393.70000000000005</v>
      </c>
      <c r="D17" s="91"/>
      <c r="E17" s="7"/>
      <c r="F17" s="7"/>
      <c r="G17" s="7"/>
      <c r="H17" s="7"/>
      <c r="I17" s="7"/>
      <c r="J17" s="7"/>
      <c r="K17" s="7"/>
      <c r="L17" s="7" t="e">
        <f t="shared" si="0"/>
        <v>#DIV/0!</v>
      </c>
    </row>
    <row r="18" spans="1:12">
      <c r="A18" s="35">
        <f>CUAJADA!A18</f>
        <v>46043</v>
      </c>
      <c r="B18" s="7">
        <f>CUAJADA!C18</f>
        <v>3000</v>
      </c>
      <c r="C18" s="91">
        <f>CUAJADA!BQ18</f>
        <v>371.65</v>
      </c>
      <c r="D18" s="91"/>
      <c r="E18" s="7">
        <f>SUM(HILADO!C77:C81)</f>
        <v>326.14999999999998</v>
      </c>
      <c r="F18" s="91">
        <f>C18-E18</f>
        <v>45.5</v>
      </c>
      <c r="G18" s="7">
        <f>SUM(HILADO!Z77:Z81)</f>
        <v>315.14999999999998</v>
      </c>
      <c r="H18" s="7">
        <f t="shared" ref="H18:H29" si="1">B18/G18</f>
        <v>9.5192765349833426</v>
      </c>
      <c r="I18" s="7">
        <f>SUM(' RESUMEN CAMARA 2'!D77:D81)</f>
        <v>163.6</v>
      </c>
      <c r="J18" s="7"/>
      <c r="K18" s="7"/>
      <c r="L18" s="7">
        <f t="shared" si="0"/>
        <v>18.337408312958434</v>
      </c>
    </row>
    <row r="19" spans="1:12">
      <c r="A19" s="35">
        <f>CUAJADA!A19</f>
        <v>46044</v>
      </c>
      <c r="B19" s="7">
        <f>CUAJADA!C19</f>
        <v>2700</v>
      </c>
      <c r="C19" s="91">
        <f>CUAJADA!BQ19</f>
        <v>319</v>
      </c>
      <c r="D19" s="91"/>
      <c r="E19" s="7">
        <f>SUM(HILADO!C82:C85)</f>
        <v>260</v>
      </c>
      <c r="F19" s="91">
        <f t="shared" ref="F19:F40" si="2">C19-E19</f>
        <v>59</v>
      </c>
      <c r="G19" s="7">
        <f>SUM(HILADO!Z82:Z85)</f>
        <v>245.60000000000002</v>
      </c>
      <c r="H19" s="7">
        <f t="shared" si="1"/>
        <v>10.993485342019543</v>
      </c>
      <c r="I19" s="7">
        <f>SUM(' RESUMEN CAMARA 2'!D82:D85)</f>
        <v>204.85000000000002</v>
      </c>
      <c r="J19" s="7"/>
      <c r="K19" s="7"/>
      <c r="L19" s="7">
        <f t="shared" si="0"/>
        <v>13.180375884793751</v>
      </c>
    </row>
    <row r="20" spans="1:12">
      <c r="A20" s="35">
        <f>CUAJADA!A20</f>
        <v>46045</v>
      </c>
      <c r="B20" s="7">
        <f>CUAJADA!C20</f>
        <v>2400</v>
      </c>
      <c r="C20" s="91">
        <f>CUAJADA!BQ20</f>
        <v>318.99999999999994</v>
      </c>
      <c r="D20" s="91"/>
      <c r="E20" s="7">
        <f>SUM(HILADO!C86:C89)-4</f>
        <v>276</v>
      </c>
      <c r="F20" s="91">
        <f t="shared" si="2"/>
        <v>42.999999999999943</v>
      </c>
      <c r="G20" s="7">
        <f>SUM(HILADO!Z86:Z89)</f>
        <v>270.3</v>
      </c>
      <c r="H20" s="7">
        <f t="shared" si="1"/>
        <v>8.8790233074361815</v>
      </c>
      <c r="I20" s="7">
        <f>SUM(' RESUMEN CAMARA 2'!D86:D89)</f>
        <v>216.55</v>
      </c>
      <c r="J20" s="7"/>
      <c r="K20" s="7"/>
      <c r="L20" s="7">
        <f t="shared" si="0"/>
        <v>11.082890787347033</v>
      </c>
    </row>
    <row r="21" spans="1:12">
      <c r="A21" s="35">
        <f>CUAJADA!A21</f>
        <v>46046</v>
      </c>
      <c r="B21" s="7">
        <f>CUAJADA!C21</f>
        <v>0</v>
      </c>
      <c r="C21" s="91">
        <f>CUAJADA!BQ21</f>
        <v>369.85</v>
      </c>
      <c r="D21" s="91"/>
      <c r="E21" s="7">
        <f>SUM(HILADO!C90:C94)+4</f>
        <v>311.37</v>
      </c>
      <c r="F21" s="91">
        <f t="shared" si="2"/>
        <v>58.480000000000018</v>
      </c>
      <c r="G21" s="7">
        <f>SUM(HILADO!Z90:Z94)</f>
        <v>296.00000000000006</v>
      </c>
      <c r="H21" s="7">
        <f t="shared" si="1"/>
        <v>0</v>
      </c>
      <c r="I21" s="7">
        <f>SUM(' RESUMEN CAMARA 2'!D90:D94)</f>
        <v>200.85</v>
      </c>
      <c r="J21" s="7"/>
      <c r="K21" s="7"/>
      <c r="L21" s="7">
        <f t="shared" si="0"/>
        <v>0</v>
      </c>
    </row>
    <row r="22" spans="1:12">
      <c r="A22" s="35">
        <f>CUAJADA!A22</f>
        <v>46049</v>
      </c>
      <c r="B22" s="7">
        <f>CUAJADA!C22</f>
        <v>2600</v>
      </c>
      <c r="C22" s="91">
        <f>CUAJADA!BQ22</f>
        <v>353.4</v>
      </c>
      <c r="D22" s="91"/>
      <c r="E22" s="7">
        <f>SUM(HILADO!C95:C96,HILADO!C98:C99)</f>
        <v>299.85000000000002</v>
      </c>
      <c r="F22" s="91">
        <f t="shared" si="2"/>
        <v>53.549999999999955</v>
      </c>
      <c r="G22" s="7">
        <f>SUM(HILADO!Z95:Z99)</f>
        <v>257.8</v>
      </c>
      <c r="H22" s="7">
        <f t="shared" si="1"/>
        <v>10.08533747090768</v>
      </c>
      <c r="I22" s="7">
        <f>SUM(' RESUMEN CAMARA 2'!D95:D99)</f>
        <v>182.45000000000002</v>
      </c>
      <c r="J22" s="7"/>
      <c r="K22" s="7"/>
      <c r="L22" s="7">
        <f t="shared" si="0"/>
        <v>14.250479583447518</v>
      </c>
    </row>
    <row r="23" spans="1:12">
      <c r="A23" s="35">
        <f>CUAJADA!A23</f>
        <v>46050</v>
      </c>
      <c r="B23" s="7">
        <f>CUAJADA!C23</f>
        <v>2600</v>
      </c>
      <c r="C23" s="91">
        <f>CUAJADA!BQ23</f>
        <v>343.79999999999995</v>
      </c>
      <c r="D23" s="91"/>
      <c r="E23" s="7"/>
      <c r="F23" s="91">
        <f t="shared" si="2"/>
        <v>343.79999999999995</v>
      </c>
      <c r="G23" s="7"/>
      <c r="H23" s="7" t="e">
        <f>B23/G23</f>
        <v>#DIV/0!</v>
      </c>
      <c r="I23" s="7"/>
      <c r="J23" s="7"/>
      <c r="K23" s="7"/>
      <c r="L23" s="7" t="e">
        <f t="shared" si="0"/>
        <v>#DIV/0!</v>
      </c>
    </row>
    <row r="24" spans="1:12">
      <c r="A24" s="35">
        <f>CUAJADA!A24</f>
        <v>46051</v>
      </c>
      <c r="B24" s="7">
        <f>CUAJADA!C24</f>
        <v>2400</v>
      </c>
      <c r="C24" s="91">
        <f>CUAJADA!BQ24</f>
        <v>376.85</v>
      </c>
      <c r="D24" s="91"/>
      <c r="E24" s="7">
        <f>SUM(HILADO!C127)</f>
        <v>30</v>
      </c>
      <c r="F24" s="91">
        <f t="shared" si="2"/>
        <v>346.85</v>
      </c>
      <c r="G24" s="7"/>
      <c r="H24" s="7" t="e">
        <f t="shared" si="1"/>
        <v>#DIV/0!</v>
      </c>
      <c r="I24" s="7"/>
      <c r="J24" s="7"/>
      <c r="K24" s="7"/>
      <c r="L24" s="7" t="e">
        <f t="shared" si="0"/>
        <v>#DIV/0!</v>
      </c>
    </row>
    <row r="25" spans="1:12">
      <c r="A25" s="35">
        <f>CUAJADA!A25</f>
        <v>46052</v>
      </c>
      <c r="B25" s="7">
        <f>CUAJADA!C25</f>
        <v>2150</v>
      </c>
      <c r="C25" s="91">
        <f>CUAJADA!BQ25</f>
        <v>276.565</v>
      </c>
      <c r="D25" s="91"/>
      <c r="E25" s="7">
        <f>SUM(HILADO!C105:C110)-3.5</f>
        <v>266.3</v>
      </c>
      <c r="F25" s="91">
        <f t="shared" si="2"/>
        <v>10.264999999999986</v>
      </c>
      <c r="G25" s="7">
        <f>SUM(HILADO!Z102,HILADO!Z105:Z110)</f>
        <v>322.70000000000005</v>
      </c>
      <c r="H25" s="247">
        <f t="shared" si="1"/>
        <v>6.6625348621010216</v>
      </c>
      <c r="I25" s="7">
        <f>SUM(' RESUMEN CAMARA 2'!D105:D110,' RESUMEN CAMARA 2'!D102)</f>
        <v>255.26400000000001</v>
      </c>
      <c r="J25" s="7"/>
      <c r="K25" s="7"/>
      <c r="L25" s="7">
        <f t="shared" si="0"/>
        <v>8.4226526263006143</v>
      </c>
    </row>
    <row r="26" spans="1:12">
      <c r="A26" s="35">
        <f>CUAJADA!A26</f>
        <v>46053</v>
      </c>
      <c r="B26" s="7">
        <f>CUAJADA!C26</f>
        <v>2500</v>
      </c>
      <c r="C26" s="91">
        <f>CUAJADA!BQ26</f>
        <v>342.40999999999997</v>
      </c>
      <c r="D26" s="91"/>
      <c r="E26" s="7">
        <f>SUM(HILADO!C111:C115)+3.5</f>
        <v>265.5</v>
      </c>
      <c r="F26" s="91">
        <f t="shared" si="2"/>
        <v>76.909999999999968</v>
      </c>
      <c r="G26" s="7">
        <f>SUM(HILADO!Z111:Z115)</f>
        <v>233.29999999999995</v>
      </c>
      <c r="H26" s="7">
        <f t="shared" si="1"/>
        <v>10.715816545220749</v>
      </c>
      <c r="I26" s="7">
        <f>SUM(' RESUMEN CAMARA 2'!D111:D115)+3</f>
        <v>196.10000000000002</v>
      </c>
      <c r="J26" s="7">
        <f>G26-I26</f>
        <v>37.199999999999932</v>
      </c>
      <c r="K26" s="7"/>
      <c r="L26" s="7">
        <f t="shared" si="0"/>
        <v>12.748597654258029</v>
      </c>
    </row>
    <row r="27" spans="1:12">
      <c r="A27" s="35">
        <f>CUAJADA!A27</f>
        <v>46056</v>
      </c>
      <c r="B27" s="7">
        <f>CUAJADA!C27</f>
        <v>2600</v>
      </c>
      <c r="C27" s="91">
        <f>CUAJADA!BQ27</f>
        <v>345.30000000000007</v>
      </c>
      <c r="D27" s="91"/>
      <c r="E27" s="7">
        <f>SUM(HILADO!C116:C120)</f>
        <v>313</v>
      </c>
      <c r="F27" s="91">
        <f t="shared" si="2"/>
        <v>32.300000000000068</v>
      </c>
      <c r="G27" s="7">
        <f>SUM(HILADO!Z116:Z120)</f>
        <v>263.59999999999997</v>
      </c>
      <c r="H27" s="7">
        <f t="shared" si="1"/>
        <v>9.8634294385432479</v>
      </c>
      <c r="I27" s="7"/>
      <c r="J27" s="7"/>
      <c r="K27" s="7"/>
      <c r="L27" s="7" t="e">
        <f t="shared" si="0"/>
        <v>#DIV/0!</v>
      </c>
    </row>
    <row r="28" spans="1:12">
      <c r="A28" s="35">
        <f>CUAJADA!A28</f>
        <v>46057</v>
      </c>
      <c r="B28" s="7">
        <f>CUAJADA!C28</f>
        <v>2500</v>
      </c>
      <c r="C28" s="91">
        <f>CUAJADA!BQ28</f>
        <v>291.55</v>
      </c>
      <c r="D28" s="91"/>
      <c r="E28" s="7">
        <f>SUM(HILADO!C123:C124) + HILADO!C134</f>
        <v>197.95</v>
      </c>
      <c r="F28" s="91">
        <f t="shared" si="2"/>
        <v>93.600000000000023</v>
      </c>
      <c r="G28" s="7">
        <f>SUM(HILADO!Z123:Z124)</f>
        <v>124.95000000000002</v>
      </c>
      <c r="H28" s="7">
        <f t="shared" si="1"/>
        <v>20.008003201280509</v>
      </c>
      <c r="I28" s="7"/>
      <c r="J28" s="7"/>
      <c r="K28" s="7"/>
      <c r="L28" s="7" t="e">
        <f t="shared" si="0"/>
        <v>#DIV/0!</v>
      </c>
    </row>
    <row r="29" spans="1:12">
      <c r="A29" s="35">
        <f>CUAJADA!A29</f>
        <v>46058</v>
      </c>
      <c r="B29" s="7">
        <f>CUAJADA!C29</f>
        <v>2700</v>
      </c>
      <c r="C29" s="91">
        <f>CUAJADA!BQ29</f>
        <v>0</v>
      </c>
      <c r="D29" s="91"/>
      <c r="E29" s="7">
        <f>SUM(HILADO!C129:C132)+HILADO!C126</f>
        <v>347</v>
      </c>
      <c r="F29" s="91">
        <f>C29-E29</f>
        <v>-347</v>
      </c>
      <c r="G29" s="7">
        <f>SUM(HILADO!Z126,HILADO!Z129:Z132)</f>
        <v>302.39999999999998</v>
      </c>
      <c r="H29" s="7">
        <f t="shared" si="1"/>
        <v>8.9285714285714288</v>
      </c>
      <c r="I29" s="7"/>
      <c r="J29" s="7"/>
      <c r="K29" s="7"/>
      <c r="L29" s="7" t="e">
        <f t="shared" si="0"/>
        <v>#DIV/0!</v>
      </c>
    </row>
    <row r="30" spans="1:12">
      <c r="A30" s="35">
        <f>CUAJADA!A30</f>
        <v>46059</v>
      </c>
      <c r="B30" s="7">
        <f>CUAJADA!C30</f>
        <v>2600</v>
      </c>
      <c r="C30" s="91">
        <f>CUAJADA!Z30</f>
        <v>61.55</v>
      </c>
      <c r="D30" s="91">
        <f>CUAJADA!Y30</f>
        <v>264.05</v>
      </c>
      <c r="E30" s="7">
        <f>SUM(HILADO!C133,HILADO!C125)</f>
        <v>62.6</v>
      </c>
      <c r="F30" s="91">
        <f>C30-E30</f>
        <v>-1.0500000000000043</v>
      </c>
      <c r="G30" s="7">
        <f>SUM(HILADO!Z133)</f>
        <v>57.45</v>
      </c>
      <c r="H30" s="241">
        <f>B30/G30</f>
        <v>45.25674499564839</v>
      </c>
      <c r="I30" s="7"/>
      <c r="J30" s="7"/>
      <c r="K30" s="7"/>
      <c r="L30" s="7">
        <f>B30/D30</f>
        <v>9.8466199583412219</v>
      </c>
    </row>
    <row r="31" spans="1:12">
      <c r="A31" s="35">
        <f>CUAJADA!A31</f>
        <v>46060</v>
      </c>
      <c r="B31" s="7">
        <f>CUAJADA!C31</f>
        <v>2600</v>
      </c>
      <c r="C31" s="91">
        <f>CUAJADA!Z31</f>
        <v>43.7</v>
      </c>
      <c r="D31" s="91">
        <f>CUAJADA!Y31</f>
        <v>247.2</v>
      </c>
      <c r="E31" s="91">
        <f>CUAJADA!Z31</f>
        <v>43.7</v>
      </c>
      <c r="F31" s="91">
        <f t="shared" si="2"/>
        <v>0</v>
      </c>
      <c r="G31" s="7"/>
      <c r="H31" s="7"/>
      <c r="I31" s="7">
        <v>235.3</v>
      </c>
      <c r="J31" s="7">
        <f>I31/B31</f>
        <v>9.0500000000000011E-2</v>
      </c>
      <c r="K31" s="7"/>
      <c r="L31" s="7">
        <f t="shared" ref="L31:L44" si="3">B31/D31</f>
        <v>10.51779935275081</v>
      </c>
    </row>
    <row r="32" spans="1:12">
      <c r="A32" s="35">
        <f>CUAJADA!A32</f>
        <v>46063</v>
      </c>
      <c r="B32" s="7">
        <f>CUAJADA!C32</f>
        <v>2300</v>
      </c>
      <c r="C32" s="91">
        <f>CUAJADA!Z32</f>
        <v>0</v>
      </c>
      <c r="D32" s="91">
        <f>CUAJADA!Y32</f>
        <v>322.5</v>
      </c>
      <c r="E32" s="7"/>
      <c r="F32" s="91">
        <f t="shared" si="2"/>
        <v>0</v>
      </c>
      <c r="G32" s="7">
        <f>SUM(HILADO!Z135)</f>
        <v>322.5</v>
      </c>
      <c r="H32" s="7">
        <f>B32/I32</f>
        <v>9.3287365645913596</v>
      </c>
      <c r="I32" s="7">
        <v>246.55</v>
      </c>
      <c r="J32" s="7"/>
      <c r="K32" s="7"/>
      <c r="L32" s="247">
        <f t="shared" si="3"/>
        <v>7.1317829457364343</v>
      </c>
    </row>
    <row r="33" spans="1:12">
      <c r="A33" s="35">
        <f>CUAJADA!A33</f>
        <v>46064</v>
      </c>
      <c r="B33" s="7">
        <f>CUAJADA!C33</f>
        <v>2500</v>
      </c>
      <c r="C33" s="91">
        <f>CUAJADA!Z33</f>
        <v>0</v>
      </c>
      <c r="D33" s="91">
        <f>CUAJADA!Y33</f>
        <v>255.7</v>
      </c>
      <c r="E33" s="7"/>
      <c r="F33" s="91">
        <f t="shared" si="2"/>
        <v>0</v>
      </c>
      <c r="G33" s="7">
        <f>SUM(HILADO!Z136)</f>
        <v>255.7</v>
      </c>
      <c r="H33" s="7" t="e">
        <f t="shared" ref="H33:H50" si="4">B33/C33</f>
        <v>#DIV/0!</v>
      </c>
      <c r="I33" s="7">
        <f>'REGISTRO DE ENVASADO'!E33</f>
        <v>232.95</v>
      </c>
      <c r="J33" s="7"/>
      <c r="K33" s="7"/>
      <c r="L33" s="7">
        <f t="shared" si="3"/>
        <v>9.7770825185764565</v>
      </c>
    </row>
    <row r="34" spans="1:12">
      <c r="A34" s="35">
        <f>CUAJADA!A34</f>
        <v>46065</v>
      </c>
      <c r="B34" s="7">
        <f>CUAJADA!C34</f>
        <v>2300</v>
      </c>
      <c r="C34" s="91">
        <f>CUAJADA!Z34</f>
        <v>0</v>
      </c>
      <c r="D34" s="91">
        <f>CUAJADA!Y34</f>
        <v>271.64999999999998</v>
      </c>
      <c r="E34" s="7"/>
      <c r="F34" s="91">
        <f t="shared" si="2"/>
        <v>0</v>
      </c>
      <c r="G34" s="7">
        <f>SUM(HILADO!Z137)</f>
        <v>271.64999999999998</v>
      </c>
      <c r="H34" s="7" t="e">
        <f t="shared" si="4"/>
        <v>#DIV/0!</v>
      </c>
      <c r="I34" s="7">
        <f>'REGISTRO DE ENVASADO'!E34</f>
        <v>239.15</v>
      </c>
      <c r="J34" s="7"/>
      <c r="K34" s="7"/>
      <c r="L34" s="247">
        <f t="shared" si="3"/>
        <v>8.4667771028897487</v>
      </c>
    </row>
    <row r="35" spans="1:12">
      <c r="A35" s="35">
        <f>CUAJADA!A35</f>
        <v>46066</v>
      </c>
      <c r="B35" s="7">
        <f>CUAJADA!C35</f>
        <v>0</v>
      </c>
      <c r="C35" s="91">
        <f>CUAJADA!Z35</f>
        <v>0</v>
      </c>
      <c r="D35" s="91">
        <f>CUAJADA!Y35</f>
        <v>0</v>
      </c>
      <c r="E35" s="7"/>
      <c r="F35" s="91">
        <f t="shared" si="2"/>
        <v>0</v>
      </c>
      <c r="G35" s="7">
        <f>SUM(HILADO!Z138)</f>
        <v>0</v>
      </c>
      <c r="H35" s="7" t="e">
        <f t="shared" si="4"/>
        <v>#DIV/0!</v>
      </c>
      <c r="I35" s="7"/>
      <c r="J35" s="7"/>
      <c r="K35" s="7"/>
      <c r="L35" s="7" t="e">
        <f t="shared" si="3"/>
        <v>#DIV/0!</v>
      </c>
    </row>
    <row r="36" spans="1:12">
      <c r="A36" s="35">
        <f>CUAJADA!A36</f>
        <v>46067</v>
      </c>
      <c r="B36" s="7">
        <f>CUAJADA!C36</f>
        <v>3250</v>
      </c>
      <c r="C36" s="91">
        <f>CUAJADA!Z36</f>
        <v>0</v>
      </c>
      <c r="D36" s="91">
        <f>CUAJADA!Y36</f>
        <v>502.00000000000006</v>
      </c>
      <c r="E36" s="7"/>
      <c r="F36" s="91">
        <f>C36-E36</f>
        <v>0</v>
      </c>
      <c r="G36" s="7">
        <f>SUM(HILADO!Z139)</f>
        <v>46.75</v>
      </c>
      <c r="H36" s="7" t="e">
        <f t="shared" si="4"/>
        <v>#DIV/0!</v>
      </c>
      <c r="I36" s="7"/>
      <c r="J36" s="7"/>
      <c r="K36" s="7"/>
      <c r="L36" s="7">
        <f t="shared" si="3"/>
        <v>6.4741035856573701</v>
      </c>
    </row>
    <row r="37" spans="1:12">
      <c r="A37" s="35">
        <f>CUAJADA!A37</f>
        <v>46070</v>
      </c>
      <c r="B37" s="7">
        <f>CUAJADA!C37</f>
        <v>0</v>
      </c>
      <c r="C37" s="91">
        <f>CUAJADA!Z37</f>
        <v>0</v>
      </c>
      <c r="D37" s="91">
        <f>CUAJADA!Y37</f>
        <v>0</v>
      </c>
      <c r="E37" s="7"/>
      <c r="F37" s="91">
        <f t="shared" si="2"/>
        <v>0</v>
      </c>
      <c r="G37" s="7">
        <f>SUM(HILADO!Z140)</f>
        <v>18.5</v>
      </c>
      <c r="H37" s="7" t="e">
        <f t="shared" si="4"/>
        <v>#DIV/0!</v>
      </c>
      <c r="I37" s="7"/>
      <c r="J37" s="7"/>
      <c r="K37" s="7"/>
      <c r="L37" s="7" t="e">
        <f t="shared" si="3"/>
        <v>#DIV/0!</v>
      </c>
    </row>
    <row r="38" spans="1:12">
      <c r="A38" s="35">
        <f>CUAJADA!A38</f>
        <v>46071</v>
      </c>
      <c r="B38" s="7">
        <v>3400</v>
      </c>
      <c r="C38" s="91">
        <f>CUAJADA!Z38</f>
        <v>383.19999999999993</v>
      </c>
      <c r="D38" s="91">
        <f>CUAJADA!Y38</f>
        <v>91.649999999999991</v>
      </c>
      <c r="E38" s="7">
        <v>327.45</v>
      </c>
      <c r="F38" s="91">
        <f t="shared" si="2"/>
        <v>55.749999999999943</v>
      </c>
      <c r="G38" s="7">
        <f>SUM(HILADO!Z141)</f>
        <v>18.7</v>
      </c>
      <c r="H38" s="7">
        <f t="shared" si="4"/>
        <v>8.8726513569937389</v>
      </c>
      <c r="I38" s="7"/>
      <c r="J38" s="7"/>
      <c r="K38" s="7"/>
      <c r="L38" s="7">
        <f>B38/(D38+E38)</f>
        <v>8.1126222858506338</v>
      </c>
    </row>
    <row r="39" spans="1:12">
      <c r="A39" s="35">
        <f>CUAJADA!A39</f>
        <v>46072</v>
      </c>
      <c r="B39" s="7">
        <f>CUAJADA!C39</f>
        <v>0</v>
      </c>
      <c r="C39" s="91">
        <f>CUAJADA!Z39</f>
        <v>0</v>
      </c>
      <c r="D39" s="91">
        <f>CUAJADA!Y39</f>
        <v>0</v>
      </c>
      <c r="E39" s="7"/>
      <c r="F39" s="91">
        <f t="shared" si="2"/>
        <v>0</v>
      </c>
      <c r="G39" s="7">
        <f>SUM(HILADO!Z142)</f>
        <v>46.25</v>
      </c>
      <c r="H39" s="7" t="e">
        <f t="shared" si="4"/>
        <v>#DIV/0!</v>
      </c>
      <c r="I39" s="7"/>
      <c r="J39" s="7"/>
      <c r="K39" s="7"/>
      <c r="L39" s="7" t="e">
        <f t="shared" si="3"/>
        <v>#DIV/0!</v>
      </c>
    </row>
    <row r="40" spans="1:12">
      <c r="A40" s="35">
        <f>CUAJADA!A40</f>
        <v>46073</v>
      </c>
      <c r="B40" s="7">
        <f>CUAJADA!C40</f>
        <v>2300</v>
      </c>
      <c r="C40" s="91">
        <f>CUAJADA!Z40</f>
        <v>0</v>
      </c>
      <c r="D40" s="91">
        <f>CUAJADA!Y40</f>
        <v>230.34999999999997</v>
      </c>
      <c r="E40" s="7"/>
      <c r="F40" s="91">
        <f t="shared" si="2"/>
        <v>0</v>
      </c>
      <c r="G40" s="7">
        <f>SUM(HILADO!Z143)</f>
        <v>43.65</v>
      </c>
      <c r="H40" s="7" t="e">
        <f t="shared" si="4"/>
        <v>#DIV/0!</v>
      </c>
      <c r="I40" s="7">
        <v>230.35</v>
      </c>
      <c r="J40" s="7"/>
      <c r="K40" s="7"/>
      <c r="L40" s="247">
        <f t="shared" si="3"/>
        <v>9.9848057304102475</v>
      </c>
    </row>
    <row r="41" spans="1:12">
      <c r="A41" s="35">
        <v>46074</v>
      </c>
      <c r="B41" s="7">
        <f>CUAJADA!C41</f>
        <v>2450</v>
      </c>
      <c r="C41" s="91">
        <f>CUAJADA!Z41</f>
        <v>161.79999999999998</v>
      </c>
      <c r="D41" s="91">
        <f>CUAJADA!Y41</f>
        <v>142.94999999999999</v>
      </c>
      <c r="E41" s="7"/>
      <c r="F41" s="7"/>
      <c r="G41" s="7"/>
      <c r="H41" s="7">
        <f t="shared" si="4"/>
        <v>15.142150803461064</v>
      </c>
      <c r="I41" s="7"/>
      <c r="J41" s="7"/>
      <c r="K41" s="7"/>
      <c r="L41" s="7">
        <f>B41/D41/2</f>
        <v>8.5694298705841216</v>
      </c>
    </row>
    <row r="42" spans="1:12">
      <c r="A42" s="35">
        <v>46077</v>
      </c>
      <c r="B42" s="7">
        <f>CUAJADA!C42</f>
        <v>0</v>
      </c>
      <c r="C42" s="91">
        <f>CUAJADA!Z42</f>
        <v>0</v>
      </c>
      <c r="D42" s="91">
        <f>CUAJADA!Y42</f>
        <v>0</v>
      </c>
      <c r="E42" s="7"/>
      <c r="F42" s="7"/>
      <c r="G42" s="7"/>
      <c r="H42" s="7" t="e">
        <f t="shared" si="4"/>
        <v>#DIV/0!</v>
      </c>
      <c r="I42" s="7"/>
      <c r="J42" s="7"/>
      <c r="K42" s="7"/>
      <c r="L42" s="7" t="e">
        <f t="shared" si="3"/>
        <v>#DIV/0!</v>
      </c>
    </row>
    <row r="43" spans="1:12">
      <c r="A43" s="35">
        <v>46078</v>
      </c>
      <c r="B43" s="7">
        <f>CUAJADA!C43</f>
        <v>0</v>
      </c>
      <c r="C43" s="91">
        <f>CUAJADA!Z43</f>
        <v>0</v>
      </c>
      <c r="D43" s="91">
        <f>CUAJADA!Y43</f>
        <v>0</v>
      </c>
      <c r="E43" s="7"/>
      <c r="F43" s="7"/>
      <c r="G43" s="7"/>
      <c r="H43" s="7" t="e">
        <f t="shared" si="4"/>
        <v>#DIV/0!</v>
      </c>
      <c r="I43" s="7"/>
      <c r="J43" s="7"/>
      <c r="K43" s="7"/>
      <c r="L43" s="7" t="e">
        <f t="shared" si="3"/>
        <v>#DIV/0!</v>
      </c>
    </row>
    <row r="44" spans="1:12">
      <c r="A44" s="35">
        <v>46079</v>
      </c>
      <c r="B44" s="7">
        <f>CUAJADA!C44</f>
        <v>2200</v>
      </c>
      <c r="C44" s="91">
        <f>CUAJADA!Z44</f>
        <v>0</v>
      </c>
      <c r="D44" s="91">
        <f>CUAJADA!Y44</f>
        <v>232.04999999999998</v>
      </c>
      <c r="E44" s="7"/>
      <c r="F44" s="7"/>
      <c r="G44" s="7"/>
      <c r="H44" s="7" t="e">
        <f t="shared" si="4"/>
        <v>#DIV/0!</v>
      </c>
      <c r="I44" s="7"/>
      <c r="J44" s="7"/>
      <c r="K44" s="7"/>
      <c r="L44" s="7">
        <f t="shared" si="3"/>
        <v>9.4807153630683043</v>
      </c>
    </row>
    <row r="45" spans="1:12">
      <c r="A45" s="35">
        <v>46080</v>
      </c>
      <c r="B45" s="7">
        <f>CUAJADA!C45</f>
        <v>2200</v>
      </c>
      <c r="C45" s="91">
        <f>CUAJADA!Z45</f>
        <v>0</v>
      </c>
      <c r="D45" s="91">
        <f>CUAJADA!Y45</f>
        <v>236.60000000000002</v>
      </c>
      <c r="E45" s="7"/>
      <c r="F45" s="7"/>
      <c r="G45" s="7"/>
      <c r="H45" s="7" t="e">
        <f t="shared" si="4"/>
        <v>#DIV/0!</v>
      </c>
      <c r="I45" s="7"/>
      <c r="J45" s="7"/>
      <c r="K45" s="7"/>
      <c r="L45" s="7"/>
    </row>
    <row r="46" spans="1:12">
      <c r="A46" s="35">
        <v>46081</v>
      </c>
      <c r="B46" s="7">
        <f>CUAJADA!C46</f>
        <v>0</v>
      </c>
      <c r="C46" s="91">
        <f>CUAJADA!Z46</f>
        <v>0</v>
      </c>
      <c r="D46" s="91">
        <f>CUAJADA!Y46</f>
        <v>0</v>
      </c>
      <c r="E46" s="7"/>
      <c r="F46" s="7"/>
      <c r="G46" s="7"/>
      <c r="H46" s="7" t="e">
        <f t="shared" si="4"/>
        <v>#DIV/0!</v>
      </c>
      <c r="I46" s="7"/>
      <c r="J46" s="7"/>
      <c r="K46" s="7"/>
      <c r="L46" s="7"/>
    </row>
    <row r="47" spans="1:12">
      <c r="A47" s="35">
        <v>46082</v>
      </c>
      <c r="B47" s="7">
        <f>CUAJADA!C47</f>
        <v>0</v>
      </c>
      <c r="C47" s="91">
        <f>CUAJADA!Z47</f>
        <v>0</v>
      </c>
      <c r="D47" s="91">
        <f>CUAJADA!Y47</f>
        <v>0</v>
      </c>
      <c r="E47" s="7"/>
      <c r="F47" s="7"/>
      <c r="G47" s="7"/>
      <c r="H47" s="7" t="e">
        <f t="shared" si="4"/>
        <v>#DIV/0!</v>
      </c>
      <c r="I47" s="7"/>
      <c r="J47" s="7"/>
      <c r="K47" s="7"/>
      <c r="L47" s="7"/>
    </row>
    <row r="48" spans="1:12">
      <c r="A48" s="35">
        <v>46083</v>
      </c>
      <c r="B48" s="7">
        <f>CUAJADA!C48</f>
        <v>0</v>
      </c>
      <c r="C48" s="91">
        <f>CUAJADA!Z48</f>
        <v>0</v>
      </c>
      <c r="D48" s="91">
        <f>CUAJADA!Y48</f>
        <v>0</v>
      </c>
      <c r="E48" s="7"/>
      <c r="F48" s="7"/>
      <c r="G48" s="7"/>
      <c r="H48" s="7" t="e">
        <f t="shared" si="4"/>
        <v>#DIV/0!</v>
      </c>
      <c r="I48" s="7"/>
      <c r="J48" s="7"/>
      <c r="K48" s="7"/>
      <c r="L48" s="7"/>
    </row>
    <row r="49" spans="1:12">
      <c r="A49" s="35">
        <v>46084</v>
      </c>
      <c r="B49" s="7">
        <f>CUAJADA!C49</f>
        <v>2400</v>
      </c>
      <c r="C49" s="91">
        <f>CUAJADA!Z49</f>
        <v>0</v>
      </c>
      <c r="D49" s="91">
        <f>CUAJADA!Y49</f>
        <v>300.55000000000007</v>
      </c>
      <c r="E49" s="7"/>
      <c r="F49" s="7"/>
      <c r="G49" s="7"/>
      <c r="H49" s="7" t="e">
        <f t="shared" si="4"/>
        <v>#DIV/0!</v>
      </c>
      <c r="I49" s="7"/>
      <c r="J49" s="7"/>
      <c r="K49" s="7"/>
      <c r="L49" s="7"/>
    </row>
    <row r="50" spans="1:12">
      <c r="A50" s="35">
        <v>46085</v>
      </c>
      <c r="B50" s="7">
        <f>CUAJADA!C50</f>
        <v>2400</v>
      </c>
      <c r="C50" s="91">
        <f>CUAJADA!Z50</f>
        <v>0</v>
      </c>
      <c r="D50" s="91">
        <f>CUAJADA!Y50</f>
        <v>271.19999999999993</v>
      </c>
      <c r="E50" s="7"/>
      <c r="F50" s="7"/>
      <c r="G50" s="7"/>
      <c r="H50" s="7" t="e">
        <f t="shared" si="4"/>
        <v>#DIV/0!</v>
      </c>
      <c r="I50" s="7"/>
      <c r="J50" s="7"/>
      <c r="K50" s="7"/>
      <c r="L50" s="7"/>
    </row>
    <row r="51" spans="1:12">
      <c r="D51" s="91">
        <f>CUAJADA!Y51</f>
        <v>0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F3089-9AE0-4600-9FF7-5CECF2CD9430}">
  <dimension ref="A1:AC214"/>
  <sheetViews>
    <sheetView zoomScale="102" zoomScaleNormal="102" workbookViewId="0">
      <pane ySplit="1" topLeftCell="A102" activePane="bottomLeft" state="frozen"/>
      <selection pane="bottomLeft" activeCell="E155" sqref="E155"/>
    </sheetView>
  </sheetViews>
  <sheetFormatPr baseColWidth="10" defaultRowHeight="14.4"/>
  <cols>
    <col min="2" max="2" width="16.33203125" customWidth="1"/>
    <col min="3" max="3" width="15.44140625" customWidth="1"/>
    <col min="4" max="4" width="15.21875" style="99" customWidth="1"/>
    <col min="5" max="5" width="14.33203125" style="99" customWidth="1"/>
    <col min="6" max="6" width="15.88671875" style="99" customWidth="1"/>
    <col min="7" max="7" width="13" customWidth="1"/>
    <col min="8" max="8" width="16.33203125" customWidth="1"/>
  </cols>
  <sheetData>
    <row r="1" spans="1:29" ht="26.4">
      <c r="A1" s="212" t="s">
        <v>417</v>
      </c>
      <c r="B1" s="213" t="s">
        <v>418</v>
      </c>
      <c r="C1" s="213" t="s">
        <v>411</v>
      </c>
      <c r="D1" s="213" t="s">
        <v>422</v>
      </c>
      <c r="E1" s="213" t="s">
        <v>419</v>
      </c>
      <c r="F1" s="213" t="s">
        <v>2</v>
      </c>
      <c r="G1" s="214" t="s">
        <v>410</v>
      </c>
      <c r="H1" s="213" t="s">
        <v>420</v>
      </c>
      <c r="I1" s="215"/>
      <c r="J1" s="216"/>
      <c r="K1" s="217"/>
      <c r="L1" s="125"/>
      <c r="M1" s="125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</row>
    <row r="2" spans="1:29" s="7" customFormat="1">
      <c r="A2" s="220">
        <f>HILADO!A2</f>
        <v>46002</v>
      </c>
      <c r="B2" s="221">
        <f>HILADO!B2</f>
        <v>1</v>
      </c>
      <c r="C2" s="139" t="s">
        <v>421</v>
      </c>
      <c r="D2" s="139"/>
      <c r="E2" s="139"/>
      <c r="F2" s="181"/>
      <c r="G2" s="139"/>
      <c r="H2" s="139"/>
      <c r="I2" s="139"/>
      <c r="J2" s="222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</row>
    <row r="3" spans="1:29" s="7" customFormat="1">
      <c r="A3" s="220">
        <f>HILADO!A3</f>
        <v>46002</v>
      </c>
      <c r="B3" s="221">
        <f>HILADO!B3</f>
        <v>2</v>
      </c>
      <c r="C3" s="139" t="s">
        <v>421</v>
      </c>
      <c r="D3" s="139"/>
      <c r="E3" s="139"/>
      <c r="F3" s="181"/>
      <c r="G3" s="139"/>
      <c r="H3" s="139"/>
      <c r="I3" s="139"/>
      <c r="J3" s="222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</row>
    <row r="4" spans="1:29" s="7" customFormat="1">
      <c r="A4" s="220">
        <f>HILADO!A4</f>
        <v>46002</v>
      </c>
      <c r="B4" s="221">
        <f>HILADO!B4</f>
        <v>3</v>
      </c>
      <c r="C4" s="139" t="s">
        <v>421</v>
      </c>
      <c r="D4" s="139"/>
      <c r="E4" s="139"/>
      <c r="F4" s="181"/>
      <c r="G4" s="139"/>
      <c r="H4" s="139"/>
      <c r="I4" s="139"/>
      <c r="J4" s="222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</row>
    <row r="5" spans="1:29" s="7" customFormat="1">
      <c r="A5" s="220">
        <f>HILADO!A5</f>
        <v>46003</v>
      </c>
      <c r="B5" s="221">
        <f>HILADO!B5</f>
        <v>4</v>
      </c>
      <c r="C5" s="139" t="s">
        <v>421</v>
      </c>
      <c r="D5" s="139"/>
      <c r="E5" s="139"/>
      <c r="F5" s="181"/>
      <c r="G5" s="139"/>
      <c r="H5" s="139"/>
      <c r="I5" s="139"/>
      <c r="J5" s="222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</row>
    <row r="6" spans="1:29" s="7" customFormat="1">
      <c r="A6" s="220">
        <f>HILADO!A6</f>
        <v>46004</v>
      </c>
      <c r="B6" s="221">
        <f>HILADO!B6</f>
        <v>5</v>
      </c>
      <c r="C6" s="139" t="s">
        <v>421</v>
      </c>
      <c r="D6" s="139"/>
      <c r="E6" s="139"/>
      <c r="F6" s="181"/>
      <c r="G6" s="139"/>
      <c r="H6" s="139"/>
      <c r="I6" s="139"/>
      <c r="J6" s="222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</row>
    <row r="7" spans="1:29" s="7" customFormat="1">
      <c r="A7" s="220">
        <f>HILADO!A7</f>
        <v>46004</v>
      </c>
      <c r="B7" s="221">
        <f>HILADO!B7</f>
        <v>6</v>
      </c>
      <c r="C7" s="139" t="s">
        <v>421</v>
      </c>
      <c r="D7" s="139"/>
      <c r="E7" s="139"/>
      <c r="F7" s="181"/>
      <c r="G7" s="139"/>
      <c r="H7" s="139"/>
      <c r="I7" s="139"/>
      <c r="J7" s="222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</row>
    <row r="8" spans="1:29" s="7" customFormat="1">
      <c r="A8" s="220">
        <f>HILADO!A8</f>
        <v>46006</v>
      </c>
      <c r="B8" s="221">
        <f>HILADO!B8</f>
        <v>7</v>
      </c>
      <c r="C8" s="139" t="s">
        <v>421</v>
      </c>
      <c r="D8" s="139"/>
      <c r="E8" s="139"/>
      <c r="F8" s="181"/>
      <c r="G8" s="139"/>
      <c r="H8" s="139"/>
      <c r="I8" s="139"/>
      <c r="J8" s="222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</row>
    <row r="9" spans="1:29" s="7" customFormat="1">
      <c r="A9" s="220">
        <f>HILADO!A9</f>
        <v>46006</v>
      </c>
      <c r="B9" s="221">
        <f>HILADO!B9</f>
        <v>8</v>
      </c>
      <c r="C9" s="139" t="s">
        <v>421</v>
      </c>
      <c r="D9" s="139"/>
      <c r="E9" s="139"/>
      <c r="F9" s="181"/>
      <c r="G9" s="139"/>
      <c r="H9" s="139"/>
      <c r="I9" s="139"/>
      <c r="J9" s="222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</row>
    <row r="10" spans="1:29" s="7" customFormat="1">
      <c r="A10" s="220">
        <f>HILADO!A10</f>
        <v>46006</v>
      </c>
      <c r="B10" s="221">
        <f>HILADO!B10</f>
        <v>9</v>
      </c>
      <c r="C10" s="139" t="s">
        <v>421</v>
      </c>
      <c r="D10" s="139"/>
      <c r="E10" s="139"/>
      <c r="F10" s="181"/>
      <c r="G10" s="139"/>
      <c r="H10" s="139"/>
      <c r="I10" s="139"/>
      <c r="J10" s="222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</row>
    <row r="11" spans="1:29" s="7" customFormat="1">
      <c r="A11" s="220">
        <f>HILADO!A11</f>
        <v>46006</v>
      </c>
      <c r="B11" s="221">
        <f>HILADO!B11</f>
        <v>10</v>
      </c>
      <c r="C11" s="139" t="s">
        <v>421</v>
      </c>
      <c r="D11" s="139"/>
      <c r="E11" s="139"/>
      <c r="F11" s="181"/>
      <c r="G11" s="139"/>
      <c r="H11" s="139"/>
      <c r="I11" s="139"/>
      <c r="J11" s="222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</row>
    <row r="12" spans="1:29" s="7" customFormat="1">
      <c r="A12" s="220">
        <f>HILADO!A12</f>
        <v>46007</v>
      </c>
      <c r="B12" s="221">
        <f>HILADO!B12</f>
        <v>11</v>
      </c>
      <c r="C12" s="139" t="s">
        <v>421</v>
      </c>
      <c r="D12" s="139"/>
      <c r="E12" s="139"/>
      <c r="F12" s="181"/>
      <c r="G12" s="139"/>
      <c r="H12" s="139"/>
      <c r="I12" s="139"/>
      <c r="J12" s="222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</row>
    <row r="13" spans="1:29" s="7" customFormat="1">
      <c r="A13" s="220">
        <f>HILADO!A13</f>
        <v>46007</v>
      </c>
      <c r="B13" s="221">
        <f>HILADO!B13</f>
        <v>0</v>
      </c>
      <c r="C13" s="139" t="s">
        <v>421</v>
      </c>
      <c r="D13" s="139"/>
      <c r="E13" s="139"/>
      <c r="F13" s="181"/>
      <c r="G13" s="139"/>
      <c r="H13" s="139"/>
      <c r="I13" s="139"/>
      <c r="J13" s="222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</row>
    <row r="14" spans="1:29" s="7" customFormat="1">
      <c r="A14" s="220">
        <f>HILADO!A14</f>
        <v>46007</v>
      </c>
      <c r="B14" s="221">
        <f>HILADO!B14</f>
        <v>1</v>
      </c>
      <c r="C14" s="139" t="s">
        <v>421</v>
      </c>
      <c r="D14" s="139"/>
      <c r="E14" s="139"/>
      <c r="F14" s="181"/>
      <c r="G14" s="139"/>
      <c r="H14" s="139"/>
      <c r="I14" s="139"/>
      <c r="J14" s="222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</row>
    <row r="15" spans="1:29" s="7" customFormat="1">
      <c r="A15" s="220">
        <f>HILADO!A15</f>
        <v>46007</v>
      </c>
      <c r="B15" s="221">
        <f>HILADO!B15</f>
        <v>2</v>
      </c>
      <c r="C15" s="139" t="s">
        <v>421</v>
      </c>
      <c r="D15" s="181"/>
      <c r="E15" s="181"/>
      <c r="F15" s="181"/>
      <c r="G15" s="136"/>
      <c r="H15" s="136"/>
      <c r="I15" s="136"/>
      <c r="J15" s="136"/>
      <c r="K15" s="136"/>
      <c r="L15" s="136"/>
      <c r="M15" s="136"/>
      <c r="N15" s="223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</row>
    <row r="16" spans="1:29" s="7" customFormat="1">
      <c r="A16" s="220">
        <f>HILADO!A16</f>
        <v>46007</v>
      </c>
      <c r="B16" s="221">
        <f>HILADO!B16</f>
        <v>3</v>
      </c>
      <c r="C16" s="139" t="s">
        <v>421</v>
      </c>
      <c r="D16" s="181"/>
      <c r="E16" s="181"/>
      <c r="F16" s="181"/>
      <c r="G16" s="136"/>
      <c r="H16" s="136"/>
      <c r="I16" s="136"/>
      <c r="J16" s="136"/>
      <c r="K16" s="136"/>
      <c r="L16" s="136"/>
      <c r="M16" s="224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</row>
    <row r="17" spans="1:29" s="7" customFormat="1">
      <c r="A17" s="220">
        <f>HILADO!A17</f>
        <v>46008</v>
      </c>
      <c r="B17" s="221">
        <f>HILADO!B17</f>
        <v>4</v>
      </c>
      <c r="C17" s="139" t="s">
        <v>421</v>
      </c>
      <c r="D17" s="181"/>
      <c r="E17" s="181"/>
      <c r="F17" s="181"/>
      <c r="G17" s="136"/>
      <c r="H17" s="136"/>
      <c r="I17" s="136"/>
      <c r="J17" s="136"/>
      <c r="K17" s="136"/>
      <c r="L17" s="136"/>
      <c r="M17" s="224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</row>
    <row r="18" spans="1:29" s="7" customFormat="1">
      <c r="A18" s="220">
        <f>HILADO!A18</f>
        <v>46008</v>
      </c>
      <c r="B18" s="221">
        <f>HILADO!B18</f>
        <v>5</v>
      </c>
      <c r="C18" s="139" t="s">
        <v>421</v>
      </c>
      <c r="D18" s="181"/>
      <c r="E18" s="181"/>
      <c r="F18" s="181"/>
      <c r="G18" s="136"/>
      <c r="H18" s="137"/>
      <c r="I18" s="137"/>
      <c r="J18" s="136"/>
      <c r="K18" s="136"/>
      <c r="L18" s="136"/>
      <c r="M18" s="224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</row>
    <row r="19" spans="1:29" s="7" customFormat="1">
      <c r="A19" s="220">
        <f>HILADO!A19</f>
        <v>46008</v>
      </c>
      <c r="B19" s="221">
        <f>HILADO!B19</f>
        <v>6</v>
      </c>
      <c r="C19" s="139" t="s">
        <v>421</v>
      </c>
      <c r="D19" s="181"/>
      <c r="E19" s="181"/>
      <c r="F19" s="181"/>
      <c r="G19" s="136"/>
      <c r="H19" s="137"/>
      <c r="I19" s="137"/>
      <c r="J19" s="136"/>
      <c r="K19" s="136"/>
      <c r="L19" s="136"/>
      <c r="M19" s="224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6"/>
    </row>
    <row r="20" spans="1:29" s="7" customFormat="1">
      <c r="A20" s="220">
        <f>HILADO!A20</f>
        <v>46009</v>
      </c>
      <c r="B20" s="221">
        <f>HILADO!B20</f>
        <v>7</v>
      </c>
      <c r="C20" s="139" t="s">
        <v>421</v>
      </c>
      <c r="D20" s="181"/>
      <c r="E20" s="181"/>
      <c r="F20" s="181"/>
      <c r="G20" s="136"/>
      <c r="H20" s="137"/>
      <c r="I20" s="137"/>
      <c r="J20" s="136"/>
      <c r="K20" s="136"/>
      <c r="L20" s="225"/>
      <c r="M20" s="22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</row>
    <row r="21" spans="1:29" s="7" customFormat="1">
      <c r="A21" s="220">
        <f>HILADO!A21</f>
        <v>46009</v>
      </c>
      <c r="B21" s="221">
        <f>HILADO!B21</f>
        <v>8</v>
      </c>
      <c r="C21" s="139" t="s">
        <v>421</v>
      </c>
      <c r="D21" s="181"/>
      <c r="E21" s="181"/>
      <c r="F21" s="181"/>
      <c r="G21" s="136"/>
      <c r="H21" s="137"/>
      <c r="I21" s="137"/>
      <c r="J21" s="136"/>
      <c r="K21" s="136"/>
      <c r="L21" s="227"/>
      <c r="M21" s="228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</row>
    <row r="22" spans="1:29" s="7" customFormat="1">
      <c r="A22" s="220">
        <f>HILADO!A22</f>
        <v>46010</v>
      </c>
      <c r="B22" s="221">
        <f>HILADO!B22</f>
        <v>9</v>
      </c>
      <c r="C22" s="139" t="s">
        <v>421</v>
      </c>
      <c r="D22" s="181"/>
      <c r="E22" s="181"/>
      <c r="F22" s="181"/>
      <c r="G22" s="136"/>
      <c r="H22" s="137"/>
      <c r="I22" s="137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</row>
    <row r="23" spans="1:29" s="7" customFormat="1">
      <c r="A23" s="220">
        <f>HILADO!A23</f>
        <v>46010</v>
      </c>
      <c r="B23" s="221">
        <f>HILADO!B23</f>
        <v>10</v>
      </c>
      <c r="C23" s="139" t="s">
        <v>421</v>
      </c>
      <c r="D23" s="181"/>
      <c r="E23" s="181"/>
      <c r="F23" s="181"/>
      <c r="G23" s="136"/>
      <c r="H23" s="137"/>
      <c r="I23" s="137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</row>
    <row r="24" spans="1:29" s="7" customFormat="1">
      <c r="A24" s="220">
        <f>HILADO!A24</f>
        <v>46010</v>
      </c>
      <c r="B24" s="221">
        <f>HILADO!B24</f>
        <v>11</v>
      </c>
      <c r="C24" s="139" t="s">
        <v>421</v>
      </c>
      <c r="D24" s="181"/>
      <c r="E24" s="181"/>
      <c r="F24" s="181"/>
      <c r="G24" s="136"/>
      <c r="H24" s="137"/>
      <c r="I24" s="137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</row>
    <row r="25" spans="1:29" s="7" customFormat="1">
      <c r="A25" s="220">
        <f>HILADO!A25</f>
        <v>46011</v>
      </c>
      <c r="B25" s="221">
        <f>HILADO!B25</f>
        <v>12</v>
      </c>
      <c r="C25" s="139" t="s">
        <v>421</v>
      </c>
      <c r="D25" s="181"/>
      <c r="E25" s="181"/>
      <c r="F25" s="181"/>
      <c r="G25" s="136"/>
      <c r="H25" s="137"/>
      <c r="I25" s="137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</row>
    <row r="26" spans="1:29" s="7" customFormat="1">
      <c r="A26" s="220">
        <f>HILADO!A26</f>
        <v>46013</v>
      </c>
      <c r="B26" s="221">
        <f>HILADO!B26</f>
        <v>13</v>
      </c>
      <c r="C26" s="139" t="s">
        <v>421</v>
      </c>
      <c r="D26" s="181"/>
      <c r="E26" s="181"/>
      <c r="F26" s="181"/>
      <c r="G26" s="136"/>
      <c r="H26" s="137"/>
      <c r="I26" s="137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</row>
    <row r="27" spans="1:29" s="7" customFormat="1">
      <c r="A27" s="220">
        <f>HILADO!A27</f>
        <v>46013</v>
      </c>
      <c r="B27" s="221">
        <f>HILADO!B27</f>
        <v>14</v>
      </c>
      <c r="C27" s="139" t="s">
        <v>421</v>
      </c>
      <c r="D27" s="181"/>
      <c r="E27" s="181"/>
      <c r="F27" s="181"/>
      <c r="G27" s="136"/>
      <c r="H27" s="137"/>
      <c r="I27" s="137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</row>
    <row r="28" spans="1:29" s="7" customFormat="1">
      <c r="A28" s="220">
        <f>HILADO!A28</f>
        <v>46013</v>
      </c>
      <c r="B28" s="221">
        <f>HILADO!B28</f>
        <v>15</v>
      </c>
      <c r="C28" s="139" t="s">
        <v>421</v>
      </c>
      <c r="D28" s="181"/>
      <c r="E28" s="181"/>
      <c r="F28" s="181"/>
      <c r="G28" s="136"/>
      <c r="H28" s="137"/>
      <c r="I28" s="137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</row>
    <row r="29" spans="1:29" s="7" customFormat="1">
      <c r="A29" s="220">
        <f>HILADO!A29</f>
        <v>46013</v>
      </c>
      <c r="B29" s="221">
        <f>HILADO!B29</f>
        <v>16</v>
      </c>
      <c r="C29" s="139" t="s">
        <v>421</v>
      </c>
      <c r="D29" s="181"/>
      <c r="E29" s="181"/>
      <c r="F29" s="181"/>
      <c r="G29" s="136"/>
      <c r="H29" s="137"/>
      <c r="I29" s="137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</row>
    <row r="30" spans="1:29" s="7" customFormat="1">
      <c r="A30" s="220">
        <f>HILADO!A30</f>
        <v>46013</v>
      </c>
      <c r="B30" s="221">
        <f>HILADO!B30</f>
        <v>17</v>
      </c>
      <c r="C30" s="139" t="s">
        <v>421</v>
      </c>
      <c r="D30" s="181"/>
      <c r="E30" s="181"/>
      <c r="F30" s="181"/>
      <c r="G30" s="136"/>
      <c r="H30" s="137"/>
      <c r="I30" s="137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</row>
    <row r="31" spans="1:29" s="7" customFormat="1">
      <c r="A31" s="220">
        <f>HILADO!A31</f>
        <v>46013</v>
      </c>
      <c r="B31" s="221">
        <f>HILADO!B31</f>
        <v>18</v>
      </c>
      <c r="C31" s="139" t="s">
        <v>421</v>
      </c>
      <c r="D31" s="181"/>
      <c r="E31" s="181"/>
      <c r="F31" s="181"/>
      <c r="G31" s="136"/>
      <c r="H31" s="137"/>
      <c r="I31" s="137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</row>
    <row r="32" spans="1:29" s="7" customFormat="1">
      <c r="A32" s="220">
        <f>HILADO!A32</f>
        <v>46013</v>
      </c>
      <c r="B32" s="221">
        <f>HILADO!B32</f>
        <v>19</v>
      </c>
      <c r="C32" s="139" t="s">
        <v>421</v>
      </c>
      <c r="D32" s="181"/>
      <c r="E32" s="181"/>
      <c r="F32" s="181"/>
      <c r="G32" s="136"/>
      <c r="H32" s="137"/>
      <c r="I32" s="137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  <c r="AC32" s="136"/>
    </row>
    <row r="33" spans="1:29" s="7" customFormat="1">
      <c r="A33" s="220">
        <f>HILADO!A33</f>
        <v>46014</v>
      </c>
      <c r="B33" s="221">
        <f>HILADO!B33</f>
        <v>20</v>
      </c>
      <c r="C33" s="139" t="s">
        <v>421</v>
      </c>
      <c r="D33" s="181"/>
      <c r="E33" s="181"/>
      <c r="F33" s="181"/>
      <c r="G33" s="136"/>
      <c r="H33" s="137"/>
      <c r="I33" s="137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6"/>
      <c r="AB33" s="136"/>
      <c r="AC33" s="136"/>
    </row>
    <row r="34" spans="1:29" s="7" customFormat="1">
      <c r="A34" s="220">
        <f>HILADO!A34</f>
        <v>46014</v>
      </c>
      <c r="B34" s="221">
        <f>HILADO!B34</f>
        <v>21</v>
      </c>
      <c r="C34" s="139" t="s">
        <v>421</v>
      </c>
      <c r="D34" s="181"/>
      <c r="E34" s="181"/>
      <c r="F34" s="181"/>
      <c r="G34" s="136"/>
      <c r="H34" s="137"/>
      <c r="I34" s="137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</row>
    <row r="35" spans="1:29" s="7" customFormat="1">
      <c r="A35" s="220">
        <f>HILADO!A35</f>
        <v>46014</v>
      </c>
      <c r="B35" s="221">
        <f>HILADO!B35</f>
        <v>22</v>
      </c>
      <c r="C35" s="139" t="s">
        <v>421</v>
      </c>
      <c r="D35" s="181"/>
      <c r="E35" s="181"/>
      <c r="F35" s="181"/>
      <c r="G35" s="136"/>
      <c r="H35" s="137"/>
      <c r="I35" s="137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</row>
    <row r="36" spans="1:29" s="7" customFormat="1">
      <c r="A36" s="220">
        <f>HILADO!A36</f>
        <v>46014</v>
      </c>
      <c r="B36" s="221">
        <f>HILADO!B36</f>
        <v>23</v>
      </c>
      <c r="C36" s="139" t="s">
        <v>421</v>
      </c>
      <c r="D36" s="181"/>
      <c r="E36" s="181"/>
      <c r="F36" s="181"/>
      <c r="G36" s="136"/>
      <c r="H36" s="137"/>
      <c r="I36" s="137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</row>
    <row r="37" spans="1:29" s="7" customFormat="1">
      <c r="A37" s="220">
        <f>HILADO!A37</f>
        <v>46031</v>
      </c>
      <c r="B37" s="221">
        <f>HILADO!B37</f>
        <v>1</v>
      </c>
      <c r="C37" s="139" t="s">
        <v>421</v>
      </c>
      <c r="D37" s="181">
        <v>46.3</v>
      </c>
      <c r="E37" s="181">
        <v>27</v>
      </c>
      <c r="F37" s="181"/>
      <c r="G37" s="136"/>
      <c r="H37" s="137">
        <v>46121</v>
      </c>
      <c r="I37" s="137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</row>
    <row r="38" spans="1:29" s="7" customFormat="1">
      <c r="A38" s="220">
        <f>HILADO!A38</f>
        <v>46031</v>
      </c>
      <c r="B38" s="221">
        <f>HILADO!B38</f>
        <v>2</v>
      </c>
      <c r="C38" s="139" t="s">
        <v>421</v>
      </c>
      <c r="D38" s="181">
        <v>24.7</v>
      </c>
      <c r="E38" s="181">
        <v>15</v>
      </c>
      <c r="F38" s="181"/>
      <c r="G38" s="136"/>
      <c r="H38" s="137">
        <v>46121</v>
      </c>
      <c r="I38" s="137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</row>
    <row r="39" spans="1:29" s="7" customFormat="1">
      <c r="A39" s="220">
        <f>HILADO!A39</f>
        <v>46031</v>
      </c>
      <c r="B39" s="221">
        <f>HILADO!B39</f>
        <v>3</v>
      </c>
      <c r="C39" s="139" t="s">
        <v>421</v>
      </c>
      <c r="D39" s="181">
        <v>36.75</v>
      </c>
      <c r="E39" s="181">
        <v>23</v>
      </c>
      <c r="F39" s="181"/>
      <c r="G39" s="136"/>
      <c r="H39" s="137">
        <v>46121</v>
      </c>
      <c r="I39" s="137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</row>
    <row r="40" spans="1:29" s="7" customFormat="1">
      <c r="A40" s="220">
        <f>HILADO!A40</f>
        <v>46031</v>
      </c>
      <c r="B40" s="221">
        <f>HILADO!B40</f>
        <v>6</v>
      </c>
      <c r="C40" s="139" t="s">
        <v>421</v>
      </c>
      <c r="D40" s="181">
        <v>23.4</v>
      </c>
      <c r="E40" s="181">
        <v>14</v>
      </c>
      <c r="F40" s="181"/>
      <c r="G40" s="136"/>
      <c r="H40" s="137">
        <v>46121</v>
      </c>
      <c r="I40" s="137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</row>
    <row r="41" spans="1:29" s="7" customFormat="1">
      <c r="A41" s="220">
        <f>HILADO!A41</f>
        <v>46032</v>
      </c>
      <c r="B41" s="221">
        <f>HILADO!B41</f>
        <v>7</v>
      </c>
      <c r="C41" s="139" t="s">
        <v>421</v>
      </c>
      <c r="D41" s="181">
        <v>20.9</v>
      </c>
      <c r="E41" s="181">
        <v>14</v>
      </c>
      <c r="F41" s="181"/>
      <c r="G41" s="136"/>
      <c r="H41" s="137">
        <v>46122</v>
      </c>
      <c r="I41" s="137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</row>
    <row r="42" spans="1:29" s="7" customFormat="1">
      <c r="A42" s="220">
        <f>HILADO!A42</f>
        <v>46032</v>
      </c>
      <c r="B42" s="221">
        <f>HILADO!B42</f>
        <v>8</v>
      </c>
      <c r="C42" s="139" t="s">
        <v>421</v>
      </c>
      <c r="D42" s="181">
        <v>32.200000000000003</v>
      </c>
      <c r="E42" s="181">
        <v>18</v>
      </c>
      <c r="F42" s="181"/>
      <c r="G42" s="136"/>
      <c r="H42" s="137">
        <v>46122</v>
      </c>
      <c r="I42" s="137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</row>
    <row r="43" spans="1:29" s="7" customFormat="1">
      <c r="A43" s="220">
        <f>HILADO!A43</f>
        <v>46032</v>
      </c>
      <c r="B43" s="221">
        <f>HILADO!B43</f>
        <v>9</v>
      </c>
      <c r="C43" s="139" t="s">
        <v>421</v>
      </c>
      <c r="D43" s="181">
        <v>25.95</v>
      </c>
      <c r="E43" s="181">
        <v>16</v>
      </c>
      <c r="F43" s="181"/>
      <c r="G43" s="136"/>
      <c r="H43" s="137">
        <v>46122</v>
      </c>
      <c r="I43" s="137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</row>
    <row r="44" spans="1:29" s="7" customFormat="1">
      <c r="A44" s="220">
        <f>HILADO!A44</f>
        <v>46034</v>
      </c>
      <c r="B44" s="221">
        <f>HILADO!B44</f>
        <v>11</v>
      </c>
      <c r="C44" s="139" t="s">
        <v>421</v>
      </c>
      <c r="D44" s="181">
        <v>42.7</v>
      </c>
      <c r="E44" s="181">
        <v>24</v>
      </c>
      <c r="F44" s="181"/>
      <c r="G44" s="136"/>
      <c r="H44" s="137">
        <v>46124</v>
      </c>
      <c r="I44" s="137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</row>
    <row r="45" spans="1:29" s="7" customFormat="1">
      <c r="A45" s="220">
        <f>HILADO!A45</f>
        <v>46034</v>
      </c>
      <c r="B45" s="221">
        <f>HILADO!B45</f>
        <v>12</v>
      </c>
      <c r="C45" s="139" t="s">
        <v>421</v>
      </c>
      <c r="D45" s="181">
        <v>37.799999999999997</v>
      </c>
      <c r="E45" s="181">
        <v>21</v>
      </c>
      <c r="F45" s="181"/>
      <c r="G45" s="136"/>
      <c r="H45" s="137">
        <v>46124</v>
      </c>
      <c r="I45" s="137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</row>
    <row r="46" spans="1:29" s="7" customFormat="1">
      <c r="A46" s="220">
        <f>HILADO!A46</f>
        <v>46034</v>
      </c>
      <c r="B46" s="221">
        <f>HILADO!B46</f>
        <v>13</v>
      </c>
      <c r="C46" s="139" t="s">
        <v>421</v>
      </c>
      <c r="D46" s="181">
        <v>37.85</v>
      </c>
      <c r="E46" s="181">
        <v>23</v>
      </c>
      <c r="F46" s="181"/>
      <c r="G46" s="136"/>
      <c r="H46" s="137">
        <v>46124</v>
      </c>
      <c r="I46" s="137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</row>
    <row r="47" spans="1:29" s="7" customFormat="1">
      <c r="A47" s="220">
        <f>HILADO!A47</f>
        <v>46036</v>
      </c>
      <c r="B47" s="221">
        <f>HILADO!B47</f>
        <v>14</v>
      </c>
      <c r="C47" s="139" t="s">
        <v>421</v>
      </c>
      <c r="D47" s="181">
        <v>40.4</v>
      </c>
      <c r="E47" s="181">
        <v>23</v>
      </c>
      <c r="F47" s="181"/>
      <c r="G47" s="136"/>
      <c r="H47" s="137">
        <v>46126</v>
      </c>
      <c r="I47" s="137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</row>
    <row r="48" spans="1:29" s="7" customFormat="1">
      <c r="A48" s="220">
        <f>HILADO!A48</f>
        <v>46036</v>
      </c>
      <c r="B48" s="221">
        <f>HILADO!B48</f>
        <v>15</v>
      </c>
      <c r="C48" s="139" t="s">
        <v>421</v>
      </c>
      <c r="D48" s="181">
        <v>45.55</v>
      </c>
      <c r="E48" s="181">
        <v>26</v>
      </c>
      <c r="F48" s="181"/>
      <c r="G48" s="136"/>
      <c r="H48" s="137">
        <v>46126</v>
      </c>
      <c r="I48" s="137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</row>
    <row r="49" spans="1:29" s="7" customFormat="1">
      <c r="A49" s="220">
        <f>HILADO!A49</f>
        <v>46037</v>
      </c>
      <c r="B49" s="221">
        <f>HILADO!B49</f>
        <v>16</v>
      </c>
      <c r="C49" s="139" t="s">
        <v>421</v>
      </c>
      <c r="D49" s="181">
        <v>38.4</v>
      </c>
      <c r="E49" s="181">
        <v>17</v>
      </c>
      <c r="F49" s="181"/>
      <c r="G49" s="136"/>
      <c r="H49" s="137">
        <v>46127</v>
      </c>
      <c r="I49" s="137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</row>
    <row r="50" spans="1:29" s="7" customFormat="1">
      <c r="A50" s="220">
        <f>HILADO!A50</f>
        <v>46037</v>
      </c>
      <c r="B50" s="221">
        <f>HILADO!B50</f>
        <v>17</v>
      </c>
      <c r="C50" s="139" t="s">
        <v>421</v>
      </c>
      <c r="D50" s="181">
        <v>31.4</v>
      </c>
      <c r="E50" s="181">
        <v>21</v>
      </c>
      <c r="F50" s="181"/>
      <c r="G50" s="136"/>
      <c r="H50" s="137">
        <v>46127</v>
      </c>
      <c r="I50" s="137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</row>
    <row r="51" spans="1:29" s="235" customFormat="1">
      <c r="A51" s="229">
        <f>HILADO!A51</f>
        <v>46037</v>
      </c>
      <c r="B51" s="230">
        <f>HILADO!B51</f>
        <v>18</v>
      </c>
      <c r="C51" s="231" t="s">
        <v>421</v>
      </c>
      <c r="D51" s="232">
        <v>46.85</v>
      </c>
      <c r="E51" s="232">
        <v>23</v>
      </c>
      <c r="F51" s="248"/>
      <c r="G51" s="233"/>
      <c r="H51" s="234">
        <v>46127</v>
      </c>
      <c r="I51" s="234"/>
      <c r="J51" s="233"/>
      <c r="K51" s="233"/>
      <c r="L51" s="233"/>
      <c r="M51" s="233"/>
      <c r="N51" s="233"/>
      <c r="O51" s="233"/>
      <c r="P51" s="233"/>
      <c r="Q51" s="233"/>
      <c r="R51" s="233"/>
      <c r="S51" s="233"/>
      <c r="T51" s="233"/>
      <c r="U51" s="233"/>
      <c r="V51" s="233"/>
      <c r="W51" s="233"/>
      <c r="X51" s="233"/>
      <c r="Y51" s="233"/>
      <c r="Z51" s="233"/>
      <c r="AA51" s="233"/>
      <c r="AB51" s="233"/>
      <c r="AC51" s="233"/>
    </row>
    <row r="52" spans="1:29" s="7" customFormat="1">
      <c r="A52" s="220">
        <f>HILADO!A52</f>
        <v>46038</v>
      </c>
      <c r="B52" s="221">
        <f>HILADO!B52</f>
        <v>19</v>
      </c>
      <c r="C52" s="139" t="s">
        <v>421</v>
      </c>
      <c r="D52" s="236">
        <v>47.05</v>
      </c>
      <c r="E52" s="236">
        <v>25</v>
      </c>
      <c r="F52" s="181"/>
      <c r="G52" s="136"/>
      <c r="H52" s="137">
        <v>46128</v>
      </c>
      <c r="I52" s="137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</row>
    <row r="53" spans="1:29" s="7" customFormat="1">
      <c r="A53" s="220">
        <f>HILADO!A53</f>
        <v>46038</v>
      </c>
      <c r="B53" s="221">
        <f>HILADO!B53</f>
        <v>20</v>
      </c>
      <c r="C53" s="139" t="s">
        <v>421</v>
      </c>
      <c r="D53" s="236">
        <v>45.7</v>
      </c>
      <c r="E53" s="236">
        <v>24</v>
      </c>
      <c r="F53" s="181"/>
      <c r="G53" s="136"/>
      <c r="H53" s="137">
        <v>46128</v>
      </c>
      <c r="I53" s="137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</row>
    <row r="54" spans="1:29" s="7" customFormat="1">
      <c r="A54" s="220">
        <f>HILADO!A54</f>
        <v>46038</v>
      </c>
      <c r="B54" s="221">
        <f>HILADO!B54</f>
        <v>21</v>
      </c>
      <c r="C54" s="139" t="s">
        <v>421</v>
      </c>
      <c r="D54" s="236">
        <v>56.15</v>
      </c>
      <c r="E54" s="236">
        <v>26</v>
      </c>
      <c r="F54" s="181"/>
      <c r="G54" s="136"/>
      <c r="H54" s="137">
        <v>46128</v>
      </c>
      <c r="I54" s="137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</row>
    <row r="55" spans="1:29" s="7" customFormat="1">
      <c r="A55" s="220">
        <f>HILADO!A55</f>
        <v>46038</v>
      </c>
      <c r="B55" s="221">
        <f>HILADO!B55</f>
        <v>22</v>
      </c>
      <c r="C55" s="139" t="s">
        <v>421</v>
      </c>
      <c r="D55" s="236">
        <v>48.7</v>
      </c>
      <c r="E55" s="236">
        <v>25</v>
      </c>
      <c r="F55" s="181"/>
      <c r="G55" s="136"/>
      <c r="H55" s="137">
        <v>46128</v>
      </c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</row>
    <row r="56" spans="1:29" s="7" customFormat="1">
      <c r="A56" s="220">
        <f>HILADO!A56</f>
        <v>46038</v>
      </c>
      <c r="B56" s="221">
        <f>HILADO!B56</f>
        <v>23</v>
      </c>
      <c r="C56" s="139" t="s">
        <v>421</v>
      </c>
      <c r="D56" s="236">
        <v>53.5</v>
      </c>
      <c r="E56" s="236">
        <v>34</v>
      </c>
      <c r="F56" s="181"/>
      <c r="G56" s="136"/>
      <c r="H56" s="137">
        <v>46128</v>
      </c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</row>
    <row r="57" spans="1:29" s="7" customFormat="1">
      <c r="A57" s="220">
        <f>HILADO!A57</f>
        <v>46039</v>
      </c>
      <c r="B57" s="221">
        <f>HILADO!B57</f>
        <v>24</v>
      </c>
      <c r="C57" s="139" t="s">
        <v>421</v>
      </c>
      <c r="D57" s="236">
        <v>60.1</v>
      </c>
      <c r="E57" s="236">
        <v>24</v>
      </c>
      <c r="F57" s="181"/>
      <c r="G57" s="136"/>
      <c r="H57" s="137">
        <v>46129</v>
      </c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</row>
    <row r="58" spans="1:29" s="7" customFormat="1">
      <c r="A58" s="220">
        <f>HILADO!A58</f>
        <v>46039</v>
      </c>
      <c r="B58" s="221">
        <f>HILADO!B58</f>
        <v>25</v>
      </c>
      <c r="C58" s="139" t="s">
        <v>421</v>
      </c>
      <c r="D58" s="236">
        <v>62.95</v>
      </c>
      <c r="E58" s="236">
        <v>22</v>
      </c>
      <c r="F58" s="181"/>
      <c r="G58" s="136"/>
      <c r="H58" s="137">
        <v>46129</v>
      </c>
      <c r="I58" s="136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</row>
    <row r="59" spans="1:29" s="7" customFormat="1">
      <c r="A59" s="220">
        <f>HILADO!A59</f>
        <v>46041</v>
      </c>
      <c r="B59" s="221">
        <f>HILADO!B59</f>
        <v>26</v>
      </c>
      <c r="C59" s="139" t="s">
        <v>421</v>
      </c>
      <c r="D59" s="236">
        <v>69.599999999999994</v>
      </c>
      <c r="E59" s="236">
        <v>11</v>
      </c>
      <c r="F59" s="181"/>
      <c r="G59" s="136"/>
      <c r="H59" s="137">
        <v>46131</v>
      </c>
      <c r="I59" s="224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</row>
    <row r="60" spans="1:29" s="7" customFormat="1">
      <c r="A60" s="220">
        <f>HILADO!A60</f>
        <v>46041</v>
      </c>
      <c r="B60" s="221">
        <f>HILADO!B60</f>
        <v>27</v>
      </c>
      <c r="C60" s="139" t="s">
        <v>421</v>
      </c>
      <c r="D60" s="236">
        <v>44.15</v>
      </c>
      <c r="E60" s="236">
        <v>23</v>
      </c>
      <c r="F60" s="181"/>
      <c r="G60" s="136"/>
      <c r="H60" s="137">
        <v>46131</v>
      </c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</row>
    <row r="61" spans="1:29" s="7" customFormat="1">
      <c r="A61" s="220">
        <f>HILADO!A61</f>
        <v>46042</v>
      </c>
      <c r="B61" s="221">
        <f>HILADO!B61</f>
        <v>28</v>
      </c>
      <c r="C61" s="139" t="s">
        <v>421</v>
      </c>
      <c r="D61" s="236">
        <v>52.55</v>
      </c>
      <c r="E61" s="236">
        <v>26</v>
      </c>
      <c r="F61" s="181"/>
      <c r="G61" s="136"/>
      <c r="H61" s="137">
        <v>46132</v>
      </c>
      <c r="I61" s="136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</row>
    <row r="62" spans="1:29" s="7" customFormat="1">
      <c r="A62" s="220">
        <f>HILADO!A62</f>
        <v>46042</v>
      </c>
      <c r="B62" s="221">
        <f>HILADO!B62</f>
        <v>29</v>
      </c>
      <c r="C62" s="139" t="s">
        <v>421</v>
      </c>
      <c r="D62" s="181">
        <v>36.75</v>
      </c>
      <c r="E62" s="181">
        <v>23</v>
      </c>
      <c r="F62" s="181"/>
      <c r="G62" s="136"/>
      <c r="H62" s="137">
        <v>46132</v>
      </c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</row>
    <row r="63" spans="1:29" s="7" customFormat="1">
      <c r="A63" s="220">
        <f>HILADO!A63</f>
        <v>46042</v>
      </c>
      <c r="B63" s="221">
        <f>HILADO!B63</f>
        <v>30</v>
      </c>
      <c r="C63" s="139" t="s">
        <v>421</v>
      </c>
      <c r="D63" s="236">
        <v>67.900000000000006</v>
      </c>
      <c r="E63" s="236">
        <v>13</v>
      </c>
      <c r="F63" s="181"/>
      <c r="G63" s="224"/>
      <c r="H63" s="137">
        <v>46132</v>
      </c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</row>
    <row r="64" spans="1:29" s="7" customFormat="1">
      <c r="A64" s="220">
        <f>HILADO!A64</f>
        <v>46042</v>
      </c>
      <c r="B64" s="221">
        <f>HILADO!B64</f>
        <v>31</v>
      </c>
      <c r="C64" s="139" t="s">
        <v>421</v>
      </c>
      <c r="D64" s="181">
        <v>20.9</v>
      </c>
      <c r="E64" s="181">
        <v>12</v>
      </c>
      <c r="F64" s="181"/>
      <c r="G64" s="136"/>
      <c r="H64" s="137">
        <v>46132</v>
      </c>
      <c r="I64" s="136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</row>
    <row r="65" spans="1:29" s="7" customFormat="1">
      <c r="A65" s="220">
        <f>HILADO!A65</f>
        <v>46043</v>
      </c>
      <c r="B65" s="221">
        <f>HILADO!B65</f>
        <v>32</v>
      </c>
      <c r="C65" s="139" t="s">
        <v>421</v>
      </c>
      <c r="D65" s="181">
        <v>32.200000000000003</v>
      </c>
      <c r="E65" s="181">
        <v>18</v>
      </c>
      <c r="F65" s="181"/>
      <c r="G65" s="224"/>
      <c r="H65" s="137">
        <v>46133</v>
      </c>
      <c r="I65" s="136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</row>
    <row r="66" spans="1:29" s="7" customFormat="1">
      <c r="A66" s="220">
        <f>HILADO!A66</f>
        <v>46043</v>
      </c>
      <c r="B66" s="221">
        <f>HILADO!B66</f>
        <v>33</v>
      </c>
      <c r="C66" s="139" t="s">
        <v>421</v>
      </c>
      <c r="D66" s="181">
        <v>25.95</v>
      </c>
      <c r="E66" s="181">
        <v>16</v>
      </c>
      <c r="F66" s="181"/>
      <c r="G66" s="136"/>
      <c r="H66" s="137">
        <v>46133</v>
      </c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</row>
    <row r="67" spans="1:29" s="7" customFormat="1">
      <c r="A67" s="220">
        <f>HILADO!A67</f>
        <v>46043</v>
      </c>
      <c r="B67" s="221">
        <f>HILADO!B67</f>
        <v>34</v>
      </c>
      <c r="C67" s="139" t="s">
        <v>421</v>
      </c>
      <c r="D67" s="181">
        <v>42.7</v>
      </c>
      <c r="E67" s="181">
        <v>24</v>
      </c>
      <c r="F67" s="237"/>
      <c r="G67" s="225"/>
      <c r="H67" s="137">
        <v>46133</v>
      </c>
      <c r="I67" s="225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</row>
    <row r="68" spans="1:29" s="7" customFormat="1">
      <c r="A68" s="220">
        <f>HILADO!A68</f>
        <v>46043</v>
      </c>
      <c r="B68" s="221">
        <f>HILADO!B68</f>
        <v>35</v>
      </c>
      <c r="C68" s="139" t="s">
        <v>421</v>
      </c>
      <c r="D68" s="236">
        <v>41.35</v>
      </c>
      <c r="E68" s="236">
        <v>77</v>
      </c>
      <c r="F68" s="181" t="s">
        <v>413</v>
      </c>
      <c r="G68" s="224"/>
      <c r="H68" s="137">
        <v>46133</v>
      </c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</row>
    <row r="69" spans="1:29" s="7" customFormat="1">
      <c r="A69" s="220">
        <f>HILADO!A69</f>
        <v>46043</v>
      </c>
      <c r="B69" s="221">
        <f>HILADO!B69</f>
        <v>36</v>
      </c>
      <c r="C69" s="139" t="s">
        <v>421</v>
      </c>
      <c r="D69" s="181">
        <v>37.85</v>
      </c>
      <c r="E69" s="181">
        <v>23</v>
      </c>
      <c r="F69" s="181"/>
      <c r="G69" s="224"/>
      <c r="H69" s="137">
        <v>46133</v>
      </c>
      <c r="I69" s="136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</row>
    <row r="70" spans="1:29" s="7" customFormat="1">
      <c r="A70" s="220">
        <f>HILADO!A70</f>
        <v>46044</v>
      </c>
      <c r="B70" s="221">
        <f>HILADO!B70</f>
        <v>37</v>
      </c>
      <c r="C70" s="139" t="s">
        <v>421</v>
      </c>
      <c r="D70" s="181">
        <v>40.4</v>
      </c>
      <c r="E70" s="181">
        <v>23</v>
      </c>
      <c r="F70" s="181"/>
      <c r="G70" s="224"/>
      <c r="H70" s="137">
        <v>46134</v>
      </c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</row>
    <row r="71" spans="1:29" s="7" customFormat="1">
      <c r="A71" s="220">
        <f>HILADO!A71</f>
        <v>46044</v>
      </c>
      <c r="B71" s="221">
        <f>HILADO!B71</f>
        <v>38</v>
      </c>
      <c r="C71" s="139" t="s">
        <v>421</v>
      </c>
      <c r="D71" s="181">
        <v>45.55</v>
      </c>
      <c r="E71" s="181">
        <v>26</v>
      </c>
      <c r="F71" s="181"/>
      <c r="G71" s="136"/>
      <c r="H71" s="137">
        <v>46134</v>
      </c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</row>
    <row r="72" spans="1:29" s="7" customFormat="1">
      <c r="A72" s="220">
        <f>HILADO!A72</f>
        <v>46044</v>
      </c>
      <c r="B72" s="221">
        <f>HILADO!B72</f>
        <v>39</v>
      </c>
      <c r="C72" s="139" t="s">
        <v>421</v>
      </c>
      <c r="D72" s="181">
        <v>47.55</v>
      </c>
      <c r="E72" s="181">
        <v>93</v>
      </c>
      <c r="F72" s="181">
        <v>0.5</v>
      </c>
      <c r="G72" s="136"/>
      <c r="H72" s="137">
        <v>46134</v>
      </c>
      <c r="I72" s="136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</row>
    <row r="73" spans="1:29" s="7" customFormat="1">
      <c r="A73" s="220">
        <f>HILADO!A73</f>
        <v>46044</v>
      </c>
      <c r="B73" s="221">
        <f>HILADO!B73</f>
        <v>40</v>
      </c>
      <c r="C73" s="139" t="s">
        <v>421</v>
      </c>
      <c r="D73" s="236">
        <v>28.05</v>
      </c>
      <c r="E73" s="181">
        <v>24</v>
      </c>
      <c r="F73" s="181"/>
      <c r="G73" s="136"/>
      <c r="H73" s="137">
        <v>46134</v>
      </c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</row>
    <row r="74" spans="1:29" s="7" customFormat="1">
      <c r="A74" s="220">
        <f>HILADO!A74</f>
        <v>46045</v>
      </c>
      <c r="B74" s="221">
        <f>HILADO!B74</f>
        <v>41</v>
      </c>
      <c r="C74" s="139" t="s">
        <v>421</v>
      </c>
      <c r="D74" s="236">
        <v>13.8</v>
      </c>
      <c r="E74" s="236">
        <v>27</v>
      </c>
      <c r="F74" s="181">
        <v>0.5</v>
      </c>
      <c r="G74" s="224"/>
      <c r="H74" s="137">
        <v>46135</v>
      </c>
      <c r="I74" s="136"/>
      <c r="J74" s="136"/>
      <c r="K74" s="136"/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  <c r="AA74" s="136"/>
      <c r="AB74" s="136"/>
      <c r="AC74" s="136"/>
    </row>
    <row r="75" spans="1:29" s="7" customFormat="1">
      <c r="A75" s="220">
        <f>HILADO!A75</f>
        <v>46045</v>
      </c>
      <c r="B75" s="221">
        <f>HILADO!B75</f>
        <v>42</v>
      </c>
      <c r="C75" s="139" t="s">
        <v>421</v>
      </c>
      <c r="D75" s="181">
        <v>49.2</v>
      </c>
      <c r="E75" s="181"/>
      <c r="F75" s="181"/>
      <c r="G75" s="136"/>
      <c r="H75" s="137">
        <v>46135</v>
      </c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</row>
    <row r="76" spans="1:29" s="7" customFormat="1">
      <c r="A76" s="220">
        <f>HILADO!A76</f>
        <v>46045</v>
      </c>
      <c r="B76" s="221">
        <f>HILADO!B76</f>
        <v>43</v>
      </c>
      <c r="C76" s="139" t="s">
        <v>421</v>
      </c>
      <c r="D76" s="181">
        <v>45.9</v>
      </c>
      <c r="E76" s="181"/>
      <c r="F76" s="237"/>
      <c r="G76" s="136"/>
      <c r="H76" s="137">
        <v>46135</v>
      </c>
      <c r="I76" s="136"/>
      <c r="J76" s="136"/>
      <c r="K76" s="136"/>
      <c r="L76" s="136"/>
      <c r="M76" s="136"/>
      <c r="N76" s="136"/>
      <c r="O76" s="136"/>
      <c r="P76" s="136"/>
      <c r="Q76" s="136"/>
      <c r="R76" s="136"/>
      <c r="S76" s="136"/>
      <c r="T76" s="136"/>
      <c r="U76" s="136"/>
      <c r="V76" s="136"/>
      <c r="W76" s="136"/>
      <c r="X76" s="136"/>
      <c r="Y76" s="136"/>
      <c r="Z76" s="136"/>
      <c r="AA76" s="136"/>
      <c r="AB76" s="136"/>
      <c r="AC76" s="136"/>
    </row>
    <row r="77" spans="1:29" s="7" customFormat="1">
      <c r="A77" s="220">
        <f>HILADO!A77</f>
        <v>46046</v>
      </c>
      <c r="B77" s="221">
        <f>HILADO!B77</f>
        <v>44</v>
      </c>
      <c r="C77" s="139" t="s">
        <v>421</v>
      </c>
      <c r="D77" s="236">
        <v>19.55</v>
      </c>
      <c r="E77" s="236">
        <v>38</v>
      </c>
      <c r="F77" s="181">
        <v>0.5</v>
      </c>
      <c r="G77" s="136"/>
      <c r="H77" s="137">
        <v>46136</v>
      </c>
      <c r="I77" s="136"/>
      <c r="J77" s="136"/>
      <c r="K77" s="136"/>
      <c r="L77" s="136"/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  <c r="AA77" s="136"/>
      <c r="AB77" s="136"/>
      <c r="AC77" s="136"/>
    </row>
    <row r="78" spans="1:29" s="7" customFormat="1">
      <c r="A78" s="220">
        <f>HILADO!A78</f>
        <v>46046</v>
      </c>
      <c r="B78" s="221">
        <f>HILADO!B78</f>
        <v>45</v>
      </c>
      <c r="C78" s="139" t="s">
        <v>421</v>
      </c>
      <c r="D78" s="236">
        <v>26.5</v>
      </c>
      <c r="E78" s="236">
        <v>53</v>
      </c>
      <c r="F78" s="181">
        <v>0.5</v>
      </c>
      <c r="G78" s="136"/>
      <c r="H78" s="137">
        <v>46136</v>
      </c>
      <c r="I78" s="136"/>
      <c r="J78" s="136"/>
      <c r="K78" s="136"/>
      <c r="L78" s="136"/>
      <c r="M78" s="136"/>
      <c r="N78" s="136"/>
      <c r="O78" s="136"/>
      <c r="P78" s="136"/>
      <c r="Q78" s="136"/>
      <c r="R78" s="136"/>
      <c r="S78" s="136"/>
      <c r="T78" s="136"/>
      <c r="U78" s="136"/>
      <c r="V78" s="136"/>
      <c r="W78" s="136"/>
      <c r="X78" s="136"/>
      <c r="Y78" s="136"/>
      <c r="Z78" s="136"/>
      <c r="AA78" s="136"/>
      <c r="AB78" s="136"/>
      <c r="AC78" s="136"/>
    </row>
    <row r="79" spans="1:29" s="7" customFormat="1">
      <c r="A79" s="220">
        <f>HILADO!A79</f>
        <v>46049</v>
      </c>
      <c r="B79" s="221">
        <f>HILADO!B79</f>
        <v>46</v>
      </c>
      <c r="C79" s="139" t="s">
        <v>421</v>
      </c>
      <c r="D79" s="236">
        <v>46.3</v>
      </c>
      <c r="E79" s="236">
        <v>16</v>
      </c>
      <c r="F79" s="181">
        <v>3.5</v>
      </c>
      <c r="G79" s="136"/>
      <c r="H79" s="137">
        <v>46128</v>
      </c>
      <c r="I79" s="136"/>
      <c r="J79" s="136"/>
      <c r="K79" s="136"/>
      <c r="L79" s="136"/>
      <c r="M79" s="136"/>
      <c r="N79" s="136"/>
      <c r="O79" s="136"/>
      <c r="P79" s="136"/>
      <c r="Q79" s="136"/>
      <c r="R79" s="136"/>
      <c r="S79" s="136"/>
      <c r="T79" s="136"/>
      <c r="U79" s="136"/>
      <c r="V79" s="136"/>
      <c r="W79" s="136"/>
      <c r="X79" s="136"/>
      <c r="Y79" s="136"/>
      <c r="Z79" s="136"/>
      <c r="AA79" s="136"/>
      <c r="AB79" s="136"/>
      <c r="AC79" s="136"/>
    </row>
    <row r="80" spans="1:29" s="7" customFormat="1">
      <c r="A80" s="220">
        <f>HILADO!A80</f>
        <v>46049</v>
      </c>
      <c r="B80" s="221">
        <f>HILADO!B80</f>
        <v>47</v>
      </c>
      <c r="C80" s="139" t="s">
        <v>421</v>
      </c>
      <c r="D80" s="236">
        <v>47.65</v>
      </c>
      <c r="E80" s="236">
        <v>16</v>
      </c>
      <c r="F80" s="181"/>
      <c r="G80" s="136"/>
      <c r="H80" s="137">
        <v>46139</v>
      </c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  <c r="Y80" s="136"/>
      <c r="Z80" s="136"/>
      <c r="AA80" s="136"/>
      <c r="AB80" s="136"/>
      <c r="AC80" s="136"/>
    </row>
    <row r="81" spans="1:29" s="7" customFormat="1">
      <c r="A81" s="220">
        <f>HILADO!A81</f>
        <v>46049</v>
      </c>
      <c r="B81" s="221">
        <f>HILADO!B81</f>
        <v>48</v>
      </c>
      <c r="C81" s="139" t="s">
        <v>421</v>
      </c>
      <c r="D81" s="236">
        <v>23.6</v>
      </c>
      <c r="E81" s="236" t="s">
        <v>408</v>
      </c>
      <c r="F81" s="181"/>
      <c r="G81" s="136"/>
      <c r="H81" s="137">
        <v>46139</v>
      </c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</row>
    <row r="82" spans="1:29" s="7" customFormat="1">
      <c r="A82" s="220">
        <f>HILADO!A82</f>
        <v>46049</v>
      </c>
      <c r="B82" s="221">
        <f>HILADO!B82</f>
        <v>49</v>
      </c>
      <c r="C82" s="139" t="s">
        <v>421</v>
      </c>
      <c r="D82" s="181">
        <v>69.7</v>
      </c>
      <c r="E82" s="181"/>
      <c r="F82" s="181"/>
      <c r="G82" s="136"/>
      <c r="H82" s="137">
        <v>46139</v>
      </c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6"/>
      <c r="X82" s="136"/>
      <c r="Y82" s="136"/>
      <c r="Z82" s="136"/>
      <c r="AA82" s="136"/>
      <c r="AB82" s="136"/>
      <c r="AC82" s="136"/>
    </row>
    <row r="83" spans="1:29" s="7" customFormat="1">
      <c r="A83" s="220">
        <f>HILADO!A83</f>
        <v>46049</v>
      </c>
      <c r="B83" s="221">
        <f>HILADO!B83</f>
        <v>50</v>
      </c>
      <c r="C83" s="139" t="s">
        <v>421</v>
      </c>
      <c r="D83" s="181">
        <v>33.700000000000003</v>
      </c>
      <c r="E83" s="181">
        <v>66</v>
      </c>
      <c r="F83" s="181">
        <v>0.5</v>
      </c>
      <c r="G83" s="136"/>
      <c r="H83" s="137">
        <v>46139</v>
      </c>
      <c r="I83" s="136"/>
      <c r="J83" s="136"/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136"/>
      <c r="V83" s="136"/>
      <c r="W83" s="136"/>
      <c r="X83" s="136"/>
      <c r="Y83" s="136"/>
      <c r="Z83" s="136"/>
      <c r="AA83" s="136"/>
      <c r="AB83" s="136"/>
      <c r="AC83" s="136"/>
    </row>
    <row r="84" spans="1:29" s="7" customFormat="1">
      <c r="A84" s="220">
        <f>HILADO!A84</f>
        <v>46050</v>
      </c>
      <c r="B84" s="221">
        <f>HILADO!B84</f>
        <v>51</v>
      </c>
      <c r="C84" s="139" t="s">
        <v>421</v>
      </c>
      <c r="D84" s="181">
        <v>51.65</v>
      </c>
      <c r="E84" s="181"/>
      <c r="F84" s="181"/>
      <c r="H84" s="137">
        <v>46140</v>
      </c>
    </row>
    <row r="85" spans="1:29" s="7" customFormat="1">
      <c r="A85" s="220">
        <f>HILADO!A85</f>
        <v>46050</v>
      </c>
      <c r="B85" s="221">
        <f>HILADO!B85</f>
        <v>52</v>
      </c>
      <c r="C85" s="139" t="s">
        <v>421</v>
      </c>
      <c r="D85" s="238">
        <v>49.8</v>
      </c>
      <c r="E85" s="236">
        <v>33</v>
      </c>
      <c r="F85" s="181" t="s">
        <v>415</v>
      </c>
      <c r="H85" s="137">
        <v>46140</v>
      </c>
    </row>
    <row r="86" spans="1:29" s="7" customFormat="1">
      <c r="A86" s="220">
        <f>HILADO!A86</f>
        <v>46050</v>
      </c>
      <c r="B86" s="221">
        <f>HILADO!B86</f>
        <v>53</v>
      </c>
      <c r="C86" s="139" t="s">
        <v>421</v>
      </c>
      <c r="D86" s="236">
        <v>57.8</v>
      </c>
      <c r="E86" s="236">
        <v>20</v>
      </c>
      <c r="F86" s="181" t="s">
        <v>415</v>
      </c>
      <c r="H86" s="137">
        <v>46140</v>
      </c>
    </row>
    <row r="87" spans="1:29" s="7" customFormat="1">
      <c r="A87" s="220">
        <f>HILADO!A87</f>
        <v>46050</v>
      </c>
      <c r="B87" s="221">
        <f>HILADO!B87</f>
        <v>54</v>
      </c>
      <c r="C87" s="139" t="s">
        <v>421</v>
      </c>
      <c r="D87" s="181">
        <v>58.6</v>
      </c>
      <c r="E87" s="181" t="s">
        <v>412</v>
      </c>
      <c r="F87" s="37"/>
      <c r="H87" s="136"/>
    </row>
    <row r="88" spans="1:29" s="7" customFormat="1">
      <c r="A88" s="220">
        <f>HILADO!A88</f>
        <v>46050</v>
      </c>
      <c r="B88" s="221">
        <f>HILADO!B88</f>
        <v>55</v>
      </c>
      <c r="C88" s="139" t="s">
        <v>421</v>
      </c>
      <c r="D88" s="236">
        <v>51.5</v>
      </c>
      <c r="E88" s="236">
        <v>98</v>
      </c>
      <c r="F88" s="37"/>
      <c r="H88" s="187">
        <v>46140</v>
      </c>
    </row>
    <row r="89" spans="1:29" s="7" customFormat="1">
      <c r="A89" s="220">
        <f>HILADO!A89</f>
        <v>46050</v>
      </c>
      <c r="B89" s="221">
        <f>HILADO!B89</f>
        <v>56</v>
      </c>
      <c r="C89" s="139" t="s">
        <v>421</v>
      </c>
      <c r="D89" s="236">
        <v>48.65</v>
      </c>
      <c r="E89" s="236"/>
      <c r="F89" s="37"/>
      <c r="H89" s="187">
        <v>46140</v>
      </c>
    </row>
    <row r="90" spans="1:29" s="7" customFormat="1">
      <c r="A90" s="220">
        <f>HILADO!A90</f>
        <v>46051</v>
      </c>
      <c r="B90" s="221">
        <f>HILADO!B90</f>
        <v>57</v>
      </c>
      <c r="C90" s="139" t="s">
        <v>421</v>
      </c>
      <c r="D90" s="236">
        <v>48.35</v>
      </c>
      <c r="E90" s="236" t="s">
        <v>412</v>
      </c>
      <c r="F90" s="37"/>
      <c r="H90" s="187">
        <v>46141</v>
      </c>
    </row>
    <row r="91" spans="1:29" s="7" customFormat="1">
      <c r="A91" s="220">
        <f>HILADO!A91</f>
        <v>46051</v>
      </c>
      <c r="B91" s="221">
        <f>HILADO!B91</f>
        <v>58</v>
      </c>
      <c r="C91" s="139" t="s">
        <v>421</v>
      </c>
      <c r="D91" s="181">
        <v>41.35</v>
      </c>
      <c r="E91" s="181">
        <v>77</v>
      </c>
      <c r="F91" s="37"/>
      <c r="H91" s="137">
        <v>46141</v>
      </c>
    </row>
    <row r="92" spans="1:29" s="7" customFormat="1">
      <c r="A92" s="220">
        <f>HILADO!A92</f>
        <v>46051</v>
      </c>
      <c r="B92" s="221">
        <f>HILADO!B92</f>
        <v>59</v>
      </c>
      <c r="C92" s="139" t="s">
        <v>421</v>
      </c>
      <c r="D92" s="236">
        <v>44.8</v>
      </c>
      <c r="E92" s="236">
        <v>60</v>
      </c>
      <c r="F92" s="37">
        <v>0.5</v>
      </c>
      <c r="H92" s="35">
        <v>46141</v>
      </c>
    </row>
    <row r="93" spans="1:29" s="7" customFormat="1">
      <c r="A93" s="220">
        <f>HILADO!A93</f>
        <v>46051</v>
      </c>
      <c r="B93" s="221">
        <f>HILADO!B93</f>
        <v>60</v>
      </c>
      <c r="C93" s="139" t="s">
        <v>421</v>
      </c>
      <c r="D93" s="236">
        <v>43.25</v>
      </c>
      <c r="E93" s="236">
        <v>85</v>
      </c>
      <c r="F93" s="37">
        <v>0.5</v>
      </c>
      <c r="H93" s="35">
        <v>46141</v>
      </c>
    </row>
    <row r="94" spans="1:29" s="247" customFormat="1">
      <c r="A94" s="243">
        <f>HILADO!A94</f>
        <v>46051</v>
      </c>
      <c r="B94" s="244">
        <f>HILADO!B94</f>
        <v>61</v>
      </c>
      <c r="C94" s="245" t="s">
        <v>421</v>
      </c>
      <c r="D94" s="246">
        <v>23.1</v>
      </c>
      <c r="E94" s="246" t="s">
        <v>412</v>
      </c>
      <c r="F94" s="249"/>
    </row>
    <row r="95" spans="1:29" s="7" customFormat="1">
      <c r="A95" s="220">
        <f>HILADO!A95</f>
        <v>46052</v>
      </c>
      <c r="B95" s="221">
        <f>HILADO!B95</f>
        <v>62</v>
      </c>
      <c r="C95" s="139" t="s">
        <v>421</v>
      </c>
      <c r="D95" s="181">
        <v>47.55</v>
      </c>
      <c r="E95" s="181">
        <v>93</v>
      </c>
      <c r="F95" s="37"/>
      <c r="H95" s="35">
        <v>46142</v>
      </c>
    </row>
    <row r="96" spans="1:29" s="7" customFormat="1">
      <c r="A96" s="220">
        <f>HILADO!A96</f>
        <v>46052</v>
      </c>
      <c r="B96" s="221">
        <f>HILADO!B96</f>
        <v>63</v>
      </c>
      <c r="C96" s="139" t="s">
        <v>421</v>
      </c>
      <c r="D96" s="181">
        <v>33.950000000000003</v>
      </c>
      <c r="E96" s="181"/>
      <c r="F96" s="37"/>
    </row>
    <row r="97" spans="1:8" s="7" customFormat="1">
      <c r="A97" s="220">
        <f>HILADO!A97</f>
        <v>46052</v>
      </c>
      <c r="B97" s="221">
        <f>HILADO!B97</f>
        <v>64</v>
      </c>
      <c r="C97" s="139" t="s">
        <v>421</v>
      </c>
      <c r="D97" s="181">
        <v>36.700000000000003</v>
      </c>
      <c r="E97" s="181"/>
      <c r="F97" s="37"/>
    </row>
    <row r="98" spans="1:8" s="7" customFormat="1">
      <c r="A98" s="220">
        <f>HILADO!A98</f>
        <v>46052</v>
      </c>
      <c r="B98" s="221">
        <f>HILADO!B98</f>
        <v>65</v>
      </c>
      <c r="C98" s="139" t="s">
        <v>421</v>
      </c>
      <c r="D98" s="181">
        <v>30.1</v>
      </c>
      <c r="E98" s="181"/>
      <c r="F98" s="37"/>
    </row>
    <row r="99" spans="1:8" s="7" customFormat="1">
      <c r="A99" s="220">
        <f>HILADO!A99</f>
        <v>46052</v>
      </c>
      <c r="B99" s="221">
        <f>HILADO!B99</f>
        <v>66</v>
      </c>
      <c r="C99" s="139" t="s">
        <v>421</v>
      </c>
      <c r="D99" s="237">
        <v>34.15</v>
      </c>
      <c r="E99" s="237" t="s">
        <v>412</v>
      </c>
      <c r="F99" s="37"/>
    </row>
    <row r="100" spans="1:8" s="7" customFormat="1">
      <c r="A100" s="220">
        <f>HILADO!A100</f>
        <v>46052</v>
      </c>
      <c r="B100" s="221">
        <f>HILADO!B100</f>
        <v>67</v>
      </c>
      <c r="C100" s="139" t="s">
        <v>421</v>
      </c>
      <c r="D100" s="181">
        <v>26.05</v>
      </c>
      <c r="E100" s="181">
        <v>38</v>
      </c>
      <c r="F100" s="37"/>
    </row>
    <row r="101" spans="1:8" s="7" customFormat="1">
      <c r="A101" s="220">
        <f>HILADO!A101</f>
        <v>46053</v>
      </c>
      <c r="B101" s="221">
        <f>HILADO!B101</f>
        <v>68</v>
      </c>
      <c r="C101" s="139" t="s">
        <v>421</v>
      </c>
      <c r="D101" s="181">
        <v>51.3</v>
      </c>
      <c r="E101" s="181">
        <v>53</v>
      </c>
      <c r="F101" s="37"/>
    </row>
    <row r="102" spans="1:8" s="7" customFormat="1">
      <c r="A102" s="220">
        <f>HILADO!A102</f>
        <v>46055</v>
      </c>
      <c r="B102" s="221">
        <f>HILADO!B102</f>
        <v>69</v>
      </c>
      <c r="C102" s="139" t="s">
        <v>421</v>
      </c>
      <c r="D102" s="181">
        <v>55.05</v>
      </c>
      <c r="E102" s="181">
        <v>16</v>
      </c>
      <c r="F102" s="37"/>
    </row>
    <row r="103" spans="1:8" s="7" customFormat="1">
      <c r="A103" s="220">
        <f>HILADO!A103</f>
        <v>46055</v>
      </c>
      <c r="B103" s="221">
        <f>HILADO!B103</f>
        <v>70</v>
      </c>
      <c r="C103" s="139" t="s">
        <v>421</v>
      </c>
      <c r="D103" s="181">
        <v>40.299999999999997</v>
      </c>
      <c r="E103" s="181"/>
      <c r="F103" s="37"/>
    </row>
    <row r="104" spans="1:8" s="7" customFormat="1">
      <c r="A104" s="220">
        <f>HILADO!A104</f>
        <v>46055</v>
      </c>
      <c r="B104" s="221">
        <f>HILADO!B104</f>
        <v>71</v>
      </c>
      <c r="C104" s="139" t="s">
        <v>421</v>
      </c>
      <c r="D104" s="181">
        <v>55.05</v>
      </c>
      <c r="E104" s="181"/>
      <c r="F104" s="37"/>
    </row>
    <row r="105" spans="1:8" s="7" customFormat="1">
      <c r="A105" s="220">
        <f>HILADO!A105</f>
        <v>46055</v>
      </c>
      <c r="B105" s="221">
        <f>HILADO!B105</f>
        <v>72</v>
      </c>
      <c r="C105" s="139" t="s">
        <v>421</v>
      </c>
      <c r="D105" s="181">
        <v>59.55</v>
      </c>
      <c r="E105" s="181"/>
      <c r="F105" s="37"/>
    </row>
    <row r="106" spans="1:8" s="7" customFormat="1">
      <c r="A106" s="220">
        <f>HILADO!A106</f>
        <v>46055</v>
      </c>
      <c r="B106" s="221">
        <f>HILADO!B106</f>
        <v>73</v>
      </c>
      <c r="C106" s="139" t="s">
        <v>421</v>
      </c>
      <c r="D106" s="181">
        <v>53.05</v>
      </c>
      <c r="E106" s="181">
        <v>66</v>
      </c>
      <c r="F106" s="37"/>
    </row>
    <row r="107" spans="1:8" s="247" customFormat="1">
      <c r="A107" s="243">
        <f>HILADO!A107</f>
        <v>46056</v>
      </c>
      <c r="B107" s="244">
        <f>HILADO!B107</f>
        <v>74</v>
      </c>
      <c r="C107" s="245" t="s">
        <v>421</v>
      </c>
      <c r="D107" s="246">
        <v>23.064</v>
      </c>
      <c r="E107" s="246"/>
      <c r="F107" s="249"/>
    </row>
    <row r="108" spans="1:8" s="7" customFormat="1">
      <c r="A108" s="220">
        <f>HILADO!A108</f>
        <v>46056</v>
      </c>
      <c r="B108" s="221">
        <f>HILADO!B108</f>
        <v>75</v>
      </c>
      <c r="C108" s="139" t="s">
        <v>421</v>
      </c>
      <c r="D108" s="181">
        <v>18.600000000000001</v>
      </c>
      <c r="E108" s="181" t="s">
        <v>414</v>
      </c>
      <c r="F108" s="37"/>
    </row>
    <row r="109" spans="1:8" s="7" customFormat="1">
      <c r="A109" s="220">
        <f>HILADO!A109</f>
        <v>46056</v>
      </c>
      <c r="B109" s="221">
        <f>HILADO!B109</f>
        <v>76</v>
      </c>
      <c r="C109" s="139" t="s">
        <v>421</v>
      </c>
      <c r="D109" s="181">
        <v>24.4</v>
      </c>
      <c r="E109" s="181" t="s">
        <v>416</v>
      </c>
      <c r="F109" s="37"/>
    </row>
    <row r="110" spans="1:8" s="7" customFormat="1">
      <c r="A110" s="220">
        <f>HILADO!A110</f>
        <v>46056</v>
      </c>
      <c r="B110" s="221">
        <f>HILADO!B110</f>
        <v>77</v>
      </c>
      <c r="C110" s="139" t="s">
        <v>421</v>
      </c>
      <c r="D110" s="181">
        <v>21.55</v>
      </c>
      <c r="E110" s="181"/>
      <c r="F110" s="37"/>
      <c r="G110" s="35">
        <v>46062</v>
      </c>
      <c r="H110" s="35">
        <v>46145</v>
      </c>
    </row>
    <row r="111" spans="1:8" s="7" customFormat="1">
      <c r="A111" s="220">
        <f>HILADO!A111</f>
        <v>46056</v>
      </c>
      <c r="B111" s="221">
        <f>HILADO!B111</f>
        <v>78</v>
      </c>
      <c r="C111" s="139" t="s">
        <v>421</v>
      </c>
      <c r="D111" s="181">
        <v>40.5</v>
      </c>
      <c r="E111" s="181"/>
      <c r="F111" s="37"/>
      <c r="G111" s="35">
        <v>46062</v>
      </c>
      <c r="H111" s="35">
        <v>46145</v>
      </c>
    </row>
    <row r="112" spans="1:8" s="7" customFormat="1">
      <c r="A112" s="220">
        <f>HILADO!A112</f>
        <v>46057</v>
      </c>
      <c r="B112" s="221">
        <f>HILADO!B112</f>
        <v>79</v>
      </c>
      <c r="C112" s="139" t="s">
        <v>421</v>
      </c>
      <c r="D112" s="181">
        <v>30.35</v>
      </c>
      <c r="E112" s="181"/>
      <c r="F112" s="37"/>
      <c r="G112" s="35">
        <v>46062</v>
      </c>
      <c r="H112" s="35">
        <v>46146</v>
      </c>
    </row>
    <row r="113" spans="1:8" s="7" customFormat="1">
      <c r="A113" s="220">
        <f>HILADO!A113</f>
        <v>46057</v>
      </c>
      <c r="B113" s="221">
        <f>HILADO!B113</f>
        <v>80</v>
      </c>
      <c r="C113" s="139" t="s">
        <v>421</v>
      </c>
      <c r="D113" s="181">
        <v>35.65</v>
      </c>
      <c r="E113" s="181"/>
      <c r="F113" s="37"/>
      <c r="G113" s="35">
        <v>46062</v>
      </c>
      <c r="H113" s="35">
        <v>46146</v>
      </c>
    </row>
    <row r="114" spans="1:8" s="7" customFormat="1">
      <c r="A114" s="220">
        <f>HILADO!A114</f>
        <v>46057</v>
      </c>
      <c r="B114" s="221">
        <f>HILADO!B114</f>
        <v>81</v>
      </c>
      <c r="C114" s="139" t="s">
        <v>421</v>
      </c>
      <c r="D114" s="181">
        <v>37.799999999999997</v>
      </c>
      <c r="E114" s="181"/>
      <c r="F114" s="37"/>
      <c r="G114" s="35">
        <v>46062</v>
      </c>
      <c r="H114" s="35">
        <v>46146</v>
      </c>
    </row>
    <row r="115" spans="1:8" s="7" customFormat="1">
      <c r="A115" s="220">
        <f>HILADO!A115</f>
        <v>46057</v>
      </c>
      <c r="B115" s="221">
        <f>HILADO!B115</f>
        <v>82</v>
      </c>
      <c r="C115" s="139" t="s">
        <v>421</v>
      </c>
      <c r="D115" s="181">
        <v>48.8</v>
      </c>
      <c r="E115" s="181"/>
      <c r="F115" s="37"/>
      <c r="G115" s="35">
        <v>46062</v>
      </c>
      <c r="H115" s="35">
        <v>46146</v>
      </c>
    </row>
    <row r="116" spans="1:8" s="7" customFormat="1">
      <c r="A116" s="220">
        <f>HILADO!A116</f>
        <v>46058</v>
      </c>
      <c r="B116" s="221">
        <f>HILADO!B116</f>
        <v>83</v>
      </c>
      <c r="C116" s="139" t="s">
        <v>421</v>
      </c>
      <c r="D116" s="181">
        <v>41.35</v>
      </c>
      <c r="E116" s="181"/>
      <c r="F116" s="37"/>
      <c r="G116" s="35">
        <v>46062</v>
      </c>
      <c r="H116" s="35">
        <v>46147</v>
      </c>
    </row>
    <row r="117" spans="1:8" s="7" customFormat="1">
      <c r="A117" s="220">
        <f>HILADO!A117</f>
        <v>46058</v>
      </c>
      <c r="B117" s="221">
        <f>HILADO!B117</f>
        <v>84</v>
      </c>
      <c r="C117" s="139" t="s">
        <v>421</v>
      </c>
      <c r="D117" s="181">
        <v>43.15</v>
      </c>
      <c r="E117" s="37"/>
      <c r="F117" s="37"/>
      <c r="G117" s="35">
        <v>46062</v>
      </c>
      <c r="H117" s="35">
        <v>46147</v>
      </c>
    </row>
    <row r="118" spans="1:8" s="7" customFormat="1">
      <c r="A118" s="220">
        <f>HILADO!A118</f>
        <v>46058</v>
      </c>
      <c r="B118" s="221">
        <f>HILADO!B118</f>
        <v>85</v>
      </c>
      <c r="C118" s="139" t="s">
        <v>421</v>
      </c>
      <c r="D118" s="181">
        <v>41.15</v>
      </c>
      <c r="E118" s="37"/>
      <c r="F118" s="37"/>
    </row>
    <row r="119" spans="1:8" s="7" customFormat="1">
      <c r="A119" s="220">
        <f>HILADO!A119</f>
        <v>46058</v>
      </c>
      <c r="B119" s="221">
        <f>HILADO!B119</f>
        <v>86</v>
      </c>
      <c r="C119" s="139" t="s">
        <v>421</v>
      </c>
      <c r="D119" s="181">
        <v>43.3</v>
      </c>
      <c r="E119" s="37"/>
      <c r="F119" s="37"/>
    </row>
    <row r="120" spans="1:8" s="7" customFormat="1">
      <c r="A120" s="220">
        <f>HILADO!A120</f>
        <v>46058</v>
      </c>
      <c r="B120" s="221">
        <f>HILADO!B120</f>
        <v>87</v>
      </c>
      <c r="C120" s="139" t="s">
        <v>421</v>
      </c>
      <c r="D120" s="181">
        <v>52.4</v>
      </c>
      <c r="E120" s="37"/>
      <c r="F120" s="37"/>
    </row>
    <row r="121" spans="1:8" s="7" customFormat="1">
      <c r="A121" s="220">
        <f>HILADO!A121</f>
        <v>0</v>
      </c>
      <c r="B121" s="221">
        <f>HILADO!B121</f>
        <v>88</v>
      </c>
      <c r="C121" s="139" t="s">
        <v>421</v>
      </c>
      <c r="D121" s="181">
        <v>54.15</v>
      </c>
      <c r="E121" s="37"/>
      <c r="F121" s="37"/>
    </row>
    <row r="122" spans="1:8" s="7" customFormat="1">
      <c r="A122" s="220">
        <f>HILADO!A122</f>
        <v>0</v>
      </c>
      <c r="B122" s="221">
        <f>HILADO!B122</f>
        <v>89</v>
      </c>
      <c r="C122" s="139" t="s">
        <v>421</v>
      </c>
      <c r="D122" s="181">
        <v>50.9</v>
      </c>
      <c r="E122" s="37"/>
      <c r="F122" s="37"/>
    </row>
    <row r="123" spans="1:8" s="7" customFormat="1">
      <c r="A123" s="220">
        <f>HILADO!A123</f>
        <v>46059</v>
      </c>
      <c r="B123" s="221">
        <f>HILADO!B123</f>
        <v>90</v>
      </c>
      <c r="C123" s="139" t="s">
        <v>421</v>
      </c>
      <c r="D123" s="181">
        <v>51.75</v>
      </c>
      <c r="E123" s="37"/>
      <c r="F123" s="37"/>
    </row>
    <row r="124" spans="1:8" s="7" customFormat="1">
      <c r="A124" s="220">
        <f>HILADO!A124</f>
        <v>46059</v>
      </c>
      <c r="B124" s="221">
        <f>HILADO!B124</f>
        <v>91</v>
      </c>
      <c r="C124" s="139" t="s">
        <v>421</v>
      </c>
      <c r="D124" s="181">
        <v>59.35</v>
      </c>
      <c r="E124" s="37"/>
      <c r="F124" s="37"/>
    </row>
    <row r="125" spans="1:8" s="7" customFormat="1">
      <c r="A125" s="220">
        <f>HILADO!A125</f>
        <v>46059</v>
      </c>
      <c r="B125" s="221">
        <f>HILADO!B125</f>
        <v>92</v>
      </c>
      <c r="C125" s="139" t="s">
        <v>421</v>
      </c>
      <c r="D125" s="181">
        <v>247.9</v>
      </c>
      <c r="E125" s="37"/>
      <c r="F125" s="37"/>
    </row>
    <row r="126" spans="1:8" s="7" customFormat="1">
      <c r="A126" s="220">
        <f>HILADO!A126</f>
        <v>44964</v>
      </c>
      <c r="B126" s="221">
        <f>HILADO!B126</f>
        <v>93</v>
      </c>
      <c r="C126" s="139" t="s">
        <v>421</v>
      </c>
      <c r="D126" s="181"/>
      <c r="E126" s="37"/>
      <c r="F126" s="37"/>
    </row>
    <row r="127" spans="1:8" s="7" customFormat="1">
      <c r="A127" s="220">
        <f>HILADO!A127</f>
        <v>46060</v>
      </c>
      <c r="B127" s="221" t="str">
        <f>HILADO!B127</f>
        <v xml:space="preserve"> </v>
      </c>
      <c r="C127" s="139" t="s">
        <v>421</v>
      </c>
      <c r="D127" s="181"/>
      <c r="E127" s="37"/>
      <c r="F127" s="37"/>
    </row>
    <row r="128" spans="1:8" s="7" customFormat="1">
      <c r="A128" s="220">
        <f>HILADO!A128</f>
        <v>46060</v>
      </c>
      <c r="B128" s="221">
        <f>HILADO!B128</f>
        <v>95</v>
      </c>
      <c r="D128" s="181"/>
      <c r="E128" s="37"/>
      <c r="F128" s="37"/>
    </row>
    <row r="129" spans="1:9" s="7" customFormat="1">
      <c r="A129" s="220">
        <f>HILADO!A129</f>
        <v>46062</v>
      </c>
      <c r="B129" s="221">
        <f>HILADO!B129</f>
        <v>96</v>
      </c>
      <c r="D129" s="181"/>
      <c r="E129" s="37"/>
      <c r="F129" s="37"/>
    </row>
    <row r="130" spans="1:9" s="7" customFormat="1">
      <c r="A130" s="220">
        <f>HILADO!A130</f>
        <v>46062</v>
      </c>
      <c r="B130" s="221">
        <f>HILADO!B130</f>
        <v>97</v>
      </c>
      <c r="D130" s="181"/>
      <c r="E130" s="37"/>
      <c r="F130" s="37"/>
    </row>
    <row r="131" spans="1:9" s="7" customFormat="1">
      <c r="A131" s="220">
        <f>HILADO!A131</f>
        <v>46062</v>
      </c>
      <c r="B131" s="221">
        <f>HILADO!B131</f>
        <v>98</v>
      </c>
      <c r="D131" s="181"/>
      <c r="E131" s="37"/>
      <c r="F131" s="37"/>
    </row>
    <row r="132" spans="1:9" s="7" customFormat="1">
      <c r="A132" s="220">
        <f>HILADO!A132</f>
        <v>46062</v>
      </c>
      <c r="B132" s="221">
        <f>HILADO!B132</f>
        <v>99</v>
      </c>
      <c r="D132" s="181"/>
      <c r="E132" s="37"/>
      <c r="F132" s="37"/>
    </row>
    <row r="133" spans="1:9" s="7" customFormat="1">
      <c r="A133" s="220">
        <f>HILADO!A133</f>
        <v>46063</v>
      </c>
      <c r="B133" s="221">
        <f>HILADO!B133</f>
        <v>100</v>
      </c>
      <c r="D133" s="181"/>
      <c r="E133" s="37"/>
      <c r="F133" s="37"/>
    </row>
    <row r="134" spans="1:9" s="7" customFormat="1">
      <c r="A134" s="220">
        <f>HILADO!A172</f>
        <v>0</v>
      </c>
      <c r="B134" s="221">
        <f>HILADO!B172</f>
        <v>0</v>
      </c>
      <c r="D134" s="181"/>
      <c r="E134" s="37"/>
      <c r="F134" s="37"/>
    </row>
    <row r="135" spans="1:9" ht="15" thickBot="1">
      <c r="A135" s="126">
        <f>HILADO!A173</f>
        <v>0</v>
      </c>
      <c r="B135" s="138">
        <f>HILADO!B173</f>
        <v>0</v>
      </c>
      <c r="C135" s="51"/>
      <c r="D135" s="218"/>
      <c r="E135" s="219"/>
      <c r="F135" s="219"/>
      <c r="G135" s="51"/>
      <c r="H135" s="51"/>
      <c r="I135" s="51"/>
    </row>
    <row r="136" spans="1:9" ht="15" thickBot="1">
      <c r="A136" s="126">
        <f>HILADO!A174</f>
        <v>0</v>
      </c>
      <c r="B136" s="138">
        <f>HILADO!B174</f>
        <v>0</v>
      </c>
      <c r="C136" s="7"/>
      <c r="D136" s="181"/>
      <c r="E136" s="37"/>
      <c r="F136" s="37"/>
      <c r="G136" s="7"/>
      <c r="H136" s="7"/>
      <c r="I136" s="7"/>
    </row>
    <row r="137" spans="1:9" ht="15" thickBot="1">
      <c r="A137" s="126">
        <f>HILADO!A175</f>
        <v>0</v>
      </c>
      <c r="B137" s="138">
        <f>HILADO!B175</f>
        <v>0</v>
      </c>
      <c r="C137" s="7"/>
      <c r="D137" s="181"/>
      <c r="E137" s="37"/>
      <c r="F137" s="37"/>
      <c r="G137" s="7"/>
      <c r="H137" s="7"/>
      <c r="I137" s="7"/>
    </row>
    <row r="138" spans="1:9" ht="15" thickBot="1">
      <c r="A138" s="126">
        <f>HILADO!A176</f>
        <v>0</v>
      </c>
      <c r="B138" s="138">
        <f>HILADO!B176</f>
        <v>0</v>
      </c>
      <c r="C138" s="7"/>
      <c r="D138" s="181"/>
      <c r="E138" s="37"/>
      <c r="F138" s="37"/>
      <c r="G138" s="7"/>
      <c r="H138" s="7"/>
      <c r="I138" s="7"/>
    </row>
    <row r="139" spans="1:9" ht="15" thickBot="1">
      <c r="A139" s="126">
        <f>HILADO!A177</f>
        <v>0</v>
      </c>
      <c r="B139" s="138">
        <f>HILADO!B177</f>
        <v>0</v>
      </c>
      <c r="C139" s="7"/>
      <c r="D139" s="181"/>
      <c r="E139" s="37"/>
      <c r="F139" s="37"/>
      <c r="G139" s="7"/>
      <c r="H139" s="7"/>
      <c r="I139" s="7"/>
    </row>
    <row r="140" spans="1:9" ht="15" thickBot="1">
      <c r="A140" s="126">
        <f>HILADO!A178</f>
        <v>0</v>
      </c>
      <c r="B140" s="138">
        <f>HILADO!B178</f>
        <v>0</v>
      </c>
      <c r="C140" s="7"/>
      <c r="D140" s="181"/>
      <c r="E140" s="37"/>
      <c r="F140" s="37"/>
      <c r="G140" s="7"/>
      <c r="H140" s="7"/>
      <c r="I140" s="7"/>
    </row>
    <row r="141" spans="1:9" ht="15" thickBot="1">
      <c r="A141" s="126">
        <f>HILADO!A179</f>
        <v>0</v>
      </c>
      <c r="B141" s="138">
        <f>HILADO!B179</f>
        <v>0</v>
      </c>
      <c r="C141" s="7"/>
      <c r="D141" s="181"/>
      <c r="E141" s="37"/>
      <c r="F141" s="37"/>
      <c r="G141" s="7"/>
      <c r="H141" s="7"/>
      <c r="I141" s="7"/>
    </row>
    <row r="142" spans="1:9" ht="15" thickBot="1">
      <c r="A142" s="126">
        <f>HILADO!A180</f>
        <v>0</v>
      </c>
      <c r="B142" s="138">
        <f>HILADO!B180</f>
        <v>0</v>
      </c>
      <c r="C142" s="7"/>
      <c r="D142" s="181"/>
      <c r="E142" s="37"/>
      <c r="F142" s="37"/>
      <c r="G142" s="7"/>
      <c r="H142" s="7"/>
      <c r="I142" s="7"/>
    </row>
    <row r="143" spans="1:9" ht="15" thickBot="1">
      <c r="A143" s="126">
        <f>HILADO!A181</f>
        <v>0</v>
      </c>
      <c r="B143" s="138">
        <f>HILADO!B181</f>
        <v>0</v>
      </c>
      <c r="C143" s="7"/>
      <c r="D143" s="181"/>
      <c r="E143" s="37"/>
      <c r="F143" s="37"/>
      <c r="G143" s="7"/>
      <c r="H143" s="7"/>
      <c r="I143" s="7"/>
    </row>
    <row r="144" spans="1:9" ht="15" thickBot="1">
      <c r="A144" s="126">
        <f>HILADO!A182</f>
        <v>0</v>
      </c>
      <c r="B144" s="138">
        <f>HILADO!B182</f>
        <v>0</v>
      </c>
      <c r="C144" s="7"/>
      <c r="D144" s="181"/>
      <c r="E144" s="37"/>
      <c r="F144" s="37"/>
      <c r="G144" s="7"/>
      <c r="H144" s="7"/>
      <c r="I144" s="7"/>
    </row>
    <row r="145" spans="1:9" ht="15" thickBot="1">
      <c r="A145" s="126">
        <f>HILADO!A183</f>
        <v>0</v>
      </c>
      <c r="B145" s="138">
        <f>HILADO!B183</f>
        <v>0</v>
      </c>
      <c r="C145" s="7"/>
      <c r="D145" s="181"/>
      <c r="E145" s="37"/>
      <c r="F145" s="37"/>
      <c r="G145" s="7"/>
      <c r="H145" s="7"/>
      <c r="I145" s="7"/>
    </row>
    <row r="146" spans="1:9" ht="15" thickBot="1">
      <c r="A146" s="126">
        <f>HILADO!A184</f>
        <v>0</v>
      </c>
      <c r="B146" s="138">
        <f>HILADO!B184</f>
        <v>0</v>
      </c>
      <c r="C146" s="7"/>
      <c r="D146" s="181"/>
      <c r="E146" s="37"/>
      <c r="F146" s="37"/>
      <c r="G146" s="7"/>
      <c r="H146" s="7"/>
      <c r="I146" s="7"/>
    </row>
    <row r="147" spans="1:9" ht="15" thickBot="1">
      <c r="A147" s="126">
        <f>HILADO!A185</f>
        <v>0</v>
      </c>
      <c r="B147" s="138">
        <f>HILADO!B185</f>
        <v>0</v>
      </c>
      <c r="C147" s="7"/>
      <c r="D147" s="181"/>
      <c r="E147" s="37"/>
      <c r="F147" s="37"/>
      <c r="G147" s="7"/>
      <c r="H147" s="7"/>
      <c r="I147" s="7"/>
    </row>
    <row r="148" spans="1:9" ht="15" thickBot="1">
      <c r="A148" s="126">
        <f>HILADO!A186</f>
        <v>0</v>
      </c>
      <c r="B148" s="138">
        <f>HILADO!B186</f>
        <v>0</v>
      </c>
      <c r="C148" s="7"/>
      <c r="D148" s="181"/>
      <c r="E148" s="37"/>
      <c r="F148" s="37"/>
      <c r="G148" s="7"/>
      <c r="H148" s="7"/>
      <c r="I148" s="7"/>
    </row>
    <row r="149" spans="1:9" ht="15" thickBot="1">
      <c r="A149" s="126">
        <f>HILADO!A187</f>
        <v>0</v>
      </c>
      <c r="B149" s="138">
        <f>HILADO!B187</f>
        <v>0</v>
      </c>
      <c r="C149" s="7"/>
      <c r="D149" s="181"/>
      <c r="E149" s="37"/>
      <c r="F149" s="37"/>
      <c r="G149" s="7"/>
      <c r="H149" s="7"/>
      <c r="I149" s="7"/>
    </row>
    <row r="150" spans="1:9" ht="15" thickBot="1">
      <c r="A150" s="126">
        <f>HILADO!A188</f>
        <v>0</v>
      </c>
      <c r="B150" s="138">
        <f>HILADO!B188</f>
        <v>0</v>
      </c>
      <c r="C150" s="7"/>
      <c r="D150" s="181"/>
      <c r="E150" s="37"/>
      <c r="F150" s="37"/>
      <c r="G150" s="7"/>
      <c r="H150" s="7"/>
      <c r="I150" s="7"/>
    </row>
    <row r="151" spans="1:9" ht="15" thickBot="1">
      <c r="A151" s="126">
        <f>HILADO!A189</f>
        <v>0</v>
      </c>
      <c r="B151" s="138">
        <f>HILADO!B189</f>
        <v>0</v>
      </c>
      <c r="C151" s="7"/>
      <c r="D151" s="181"/>
      <c r="E151" s="37"/>
      <c r="F151" s="37"/>
      <c r="G151" s="7"/>
      <c r="H151" s="7"/>
      <c r="I151" s="7"/>
    </row>
    <row r="152" spans="1:9" ht="15" thickBot="1">
      <c r="A152" s="126">
        <f>HILADO!A190</f>
        <v>0</v>
      </c>
      <c r="B152" s="138">
        <f>HILADO!B190</f>
        <v>0</v>
      </c>
      <c r="C152" s="7"/>
      <c r="D152" s="181"/>
      <c r="E152" s="37"/>
      <c r="F152" s="37"/>
      <c r="G152" s="7"/>
      <c r="H152" s="7"/>
      <c r="I152" s="7"/>
    </row>
    <row r="153" spans="1:9" ht="15" thickBot="1">
      <c r="A153" s="126">
        <f>HILADO!A191</f>
        <v>0</v>
      </c>
      <c r="B153" s="138">
        <f>HILADO!B191</f>
        <v>0</v>
      </c>
      <c r="C153" s="7"/>
      <c r="D153" s="181"/>
      <c r="E153" s="37"/>
      <c r="F153" s="37"/>
      <c r="G153" s="7"/>
      <c r="H153" s="7"/>
      <c r="I153" s="7"/>
    </row>
    <row r="154" spans="1:9" ht="15" thickBot="1">
      <c r="A154" s="126">
        <f>HILADO!A192</f>
        <v>0</v>
      </c>
      <c r="B154" s="138">
        <f>HILADO!B192</f>
        <v>0</v>
      </c>
      <c r="C154" s="7"/>
      <c r="D154" s="181"/>
      <c r="E154" s="37"/>
      <c r="F154" s="37"/>
      <c r="G154" s="7"/>
      <c r="H154" s="7"/>
      <c r="I154" s="7"/>
    </row>
    <row r="155" spans="1:9" ht="15" thickBot="1">
      <c r="A155" s="126">
        <f>HILADO!A193</f>
        <v>0</v>
      </c>
      <c r="B155" s="138">
        <f>HILADO!B193</f>
        <v>0</v>
      </c>
      <c r="C155" s="7"/>
      <c r="D155" s="181"/>
      <c r="E155" s="37"/>
      <c r="F155" s="37"/>
      <c r="G155" s="7"/>
      <c r="H155" s="7"/>
      <c r="I155" s="7"/>
    </row>
    <row r="156" spans="1:9" ht="15" thickBot="1">
      <c r="A156" s="126">
        <f>HILADO!A194</f>
        <v>0</v>
      </c>
      <c r="B156" s="138">
        <f>HILADO!B194</f>
        <v>0</v>
      </c>
      <c r="C156" s="7"/>
      <c r="D156" s="181"/>
      <c r="E156" s="37"/>
      <c r="F156" s="37"/>
      <c r="G156" s="7"/>
      <c r="H156" s="7"/>
      <c r="I156" s="7"/>
    </row>
    <row r="157" spans="1:9" ht="15" thickBot="1">
      <c r="A157" s="126">
        <f>HILADO!A195</f>
        <v>0</v>
      </c>
      <c r="B157" s="138">
        <f>HILADO!B195</f>
        <v>0</v>
      </c>
      <c r="C157" s="7"/>
      <c r="D157" s="181"/>
      <c r="E157" s="37"/>
      <c r="F157" s="37"/>
      <c r="G157" s="7"/>
      <c r="H157" s="7"/>
      <c r="I157" s="7"/>
    </row>
    <row r="158" spans="1:9" ht="15" thickBot="1">
      <c r="A158" s="126">
        <f>HILADO!A196</f>
        <v>0</v>
      </c>
      <c r="B158" s="138">
        <f>HILADO!B196</f>
        <v>0</v>
      </c>
      <c r="C158" s="7"/>
      <c r="D158" s="181"/>
      <c r="E158" s="37"/>
      <c r="F158" s="37"/>
      <c r="G158" s="7"/>
      <c r="H158" s="7"/>
      <c r="I158" s="7"/>
    </row>
    <row r="159" spans="1:9" ht="15" thickBot="1">
      <c r="A159" s="126">
        <f>HILADO!A197</f>
        <v>0</v>
      </c>
      <c r="B159" s="138">
        <f>HILADO!B197</f>
        <v>0</v>
      </c>
      <c r="C159" s="7"/>
      <c r="D159" s="181"/>
      <c r="E159" s="37"/>
      <c r="F159" s="37"/>
      <c r="G159" s="7"/>
      <c r="H159" s="7"/>
      <c r="I159" s="7"/>
    </row>
    <row r="160" spans="1:9" ht="15" thickBot="1">
      <c r="A160" s="126">
        <f>HILADO!A198</f>
        <v>0</v>
      </c>
      <c r="B160" s="138">
        <f>HILADO!B198</f>
        <v>0</v>
      </c>
      <c r="C160" s="7"/>
      <c r="D160" s="37"/>
      <c r="E160" s="37"/>
      <c r="F160" s="37"/>
      <c r="G160" s="7"/>
      <c r="H160" s="7"/>
      <c r="I160" s="7"/>
    </row>
    <row r="161" spans="1:9" ht="15" thickBot="1">
      <c r="A161" s="126">
        <f>HILADO!A199</f>
        <v>0</v>
      </c>
      <c r="B161" s="138">
        <f>HILADO!B199</f>
        <v>0</v>
      </c>
      <c r="C161" s="7"/>
      <c r="D161" s="37"/>
      <c r="E161" s="37"/>
      <c r="F161" s="37"/>
      <c r="G161" s="7"/>
      <c r="H161" s="7"/>
      <c r="I161" s="7"/>
    </row>
    <row r="162" spans="1:9" ht="15" thickBot="1">
      <c r="A162" s="126">
        <f>HILADO!A200</f>
        <v>0</v>
      </c>
      <c r="B162" s="138">
        <f>HILADO!B200</f>
        <v>0</v>
      </c>
      <c r="C162" s="7"/>
      <c r="D162" s="37"/>
      <c r="E162" s="37"/>
      <c r="F162" s="37"/>
      <c r="G162" s="7"/>
      <c r="H162" s="7"/>
      <c r="I162" s="7"/>
    </row>
    <row r="163" spans="1:9" ht="15" thickBot="1">
      <c r="A163" s="126">
        <f>HILADO!A201</f>
        <v>0</v>
      </c>
      <c r="B163" s="138">
        <f>HILADO!B201</f>
        <v>0</v>
      </c>
      <c r="C163" s="7"/>
      <c r="D163" s="37"/>
      <c r="E163" s="37"/>
      <c r="F163" s="37"/>
      <c r="G163" s="7"/>
      <c r="H163" s="7"/>
      <c r="I163" s="7"/>
    </row>
    <row r="164" spans="1:9" ht="15" thickBot="1">
      <c r="A164" s="126">
        <f>HILADO!A202</f>
        <v>0</v>
      </c>
      <c r="B164" s="138">
        <f>HILADO!B202</f>
        <v>0</v>
      </c>
      <c r="C164" s="7"/>
      <c r="D164" s="37"/>
      <c r="E164" s="37"/>
      <c r="F164" s="37"/>
      <c r="G164" s="7"/>
      <c r="H164" s="7"/>
      <c r="I164" s="7"/>
    </row>
    <row r="165" spans="1:9" ht="15" thickBot="1">
      <c r="A165" s="126">
        <f>HILADO!A203</f>
        <v>0</v>
      </c>
      <c r="B165" s="138">
        <f>HILADO!B203</f>
        <v>0</v>
      </c>
      <c r="C165" s="7"/>
      <c r="D165" s="37"/>
      <c r="E165" s="37"/>
      <c r="F165" s="37"/>
      <c r="G165" s="7"/>
      <c r="H165" s="7"/>
      <c r="I165" s="7"/>
    </row>
    <row r="166" spans="1:9" ht="15" thickBot="1">
      <c r="A166" s="126">
        <f>HILADO!A204</f>
        <v>0</v>
      </c>
      <c r="B166" s="138">
        <f>HILADO!B204</f>
        <v>0</v>
      </c>
      <c r="C166" s="7"/>
      <c r="D166" s="37"/>
      <c r="E166" s="37"/>
      <c r="F166" s="37"/>
      <c r="G166" s="7"/>
      <c r="H166" s="7"/>
      <c r="I166" s="7"/>
    </row>
    <row r="167" spans="1:9" ht="15" thickBot="1">
      <c r="A167" s="126">
        <f>HILADO!A205</f>
        <v>0</v>
      </c>
      <c r="B167" s="127">
        <f>HILADO!B205</f>
        <v>0</v>
      </c>
    </row>
    <row r="168" spans="1:9" ht="15" thickBot="1">
      <c r="A168" s="126">
        <f>HILADO!A206</f>
        <v>0</v>
      </c>
      <c r="B168" s="127">
        <f>HILADO!B206</f>
        <v>0</v>
      </c>
    </row>
    <row r="169" spans="1:9" ht="15" thickBot="1">
      <c r="A169" s="126">
        <f>HILADO!A207</f>
        <v>0</v>
      </c>
      <c r="B169" s="127">
        <f>HILADO!B207</f>
        <v>0</v>
      </c>
    </row>
    <row r="170" spans="1:9" ht="15" thickBot="1">
      <c r="A170" s="126">
        <f>HILADO!A208</f>
        <v>0</v>
      </c>
      <c r="B170" s="127">
        <f>HILADO!B208</f>
        <v>0</v>
      </c>
    </row>
    <row r="171" spans="1:9" ht="15" thickBot="1">
      <c r="A171" s="126">
        <f>HILADO!A209</f>
        <v>0</v>
      </c>
      <c r="B171" s="127">
        <f>HILADO!B209</f>
        <v>0</v>
      </c>
    </row>
    <row r="172" spans="1:9" ht="15" thickBot="1">
      <c r="A172" s="126">
        <f>HILADO!A210</f>
        <v>0</v>
      </c>
      <c r="B172" s="127">
        <f>HILADO!B210</f>
        <v>0</v>
      </c>
    </row>
    <row r="173" spans="1:9" ht="15" thickBot="1">
      <c r="A173" s="126">
        <f>HILADO!A211</f>
        <v>0</v>
      </c>
      <c r="B173" s="127">
        <f>HILADO!B211</f>
        <v>0</v>
      </c>
    </row>
    <row r="174" spans="1:9" ht="15" thickBot="1">
      <c r="A174" s="126">
        <f>HILADO!A212</f>
        <v>0</v>
      </c>
      <c r="B174" s="127">
        <f>HILADO!B212</f>
        <v>0</v>
      </c>
    </row>
    <row r="175" spans="1:9" ht="15" thickBot="1">
      <c r="A175" s="126">
        <f>HILADO!A213</f>
        <v>0</v>
      </c>
      <c r="B175" s="127">
        <f>HILADO!B213</f>
        <v>0</v>
      </c>
    </row>
    <row r="176" spans="1:9" ht="15" thickBot="1">
      <c r="A176" s="126">
        <f>HILADO!A214</f>
        <v>0</v>
      </c>
      <c r="B176" s="127">
        <f>HILADO!B214</f>
        <v>0</v>
      </c>
    </row>
    <row r="177" spans="1:2" ht="15" thickBot="1">
      <c r="A177" s="126">
        <f>HILADO!A215</f>
        <v>0</v>
      </c>
      <c r="B177" s="127">
        <f>HILADO!B215</f>
        <v>0</v>
      </c>
    </row>
    <row r="178" spans="1:2" ht="15" thickBot="1">
      <c r="A178" s="126">
        <f>HILADO!A216</f>
        <v>0</v>
      </c>
      <c r="B178" s="127">
        <f>HILADO!B216</f>
        <v>0</v>
      </c>
    </row>
    <row r="179" spans="1:2" ht="15" thickBot="1">
      <c r="A179" s="126">
        <f>HILADO!A217</f>
        <v>0</v>
      </c>
      <c r="B179" s="127">
        <f>HILADO!B217</f>
        <v>0</v>
      </c>
    </row>
    <row r="180" spans="1:2" ht="15" thickBot="1">
      <c r="A180" s="126">
        <f>HILADO!A218</f>
        <v>0</v>
      </c>
      <c r="B180" s="127">
        <f>HILADO!B218</f>
        <v>0</v>
      </c>
    </row>
    <row r="181" spans="1:2" ht="15" thickBot="1">
      <c r="A181" s="126">
        <f>HILADO!A219</f>
        <v>0</v>
      </c>
      <c r="B181" s="127">
        <f>HILADO!B219</f>
        <v>0</v>
      </c>
    </row>
    <row r="182" spans="1:2" ht="15" thickBot="1">
      <c r="A182" s="126">
        <f>HILADO!A220</f>
        <v>0</v>
      </c>
      <c r="B182" s="127">
        <f>HILADO!B220</f>
        <v>0</v>
      </c>
    </row>
    <row r="183" spans="1:2" ht="15" thickBot="1">
      <c r="A183" s="126">
        <f>HILADO!A221</f>
        <v>0</v>
      </c>
      <c r="B183" s="127">
        <f>HILADO!B221</f>
        <v>0</v>
      </c>
    </row>
    <row r="184" spans="1:2" ht="15" thickBot="1">
      <c r="A184" s="126">
        <f>HILADO!A222</f>
        <v>0</v>
      </c>
      <c r="B184" s="127">
        <f>HILADO!B222</f>
        <v>0</v>
      </c>
    </row>
    <row r="185" spans="1:2" ht="15" thickBot="1">
      <c r="A185" s="126">
        <f>HILADO!A223</f>
        <v>0</v>
      </c>
      <c r="B185" s="127">
        <f>HILADO!B223</f>
        <v>0</v>
      </c>
    </row>
    <row r="186" spans="1:2" ht="15" thickBot="1">
      <c r="A186" s="126">
        <f>HILADO!A224</f>
        <v>0</v>
      </c>
      <c r="B186" s="127">
        <f>HILADO!B224</f>
        <v>0</v>
      </c>
    </row>
    <row r="187" spans="1:2" ht="15" thickBot="1">
      <c r="A187" s="126">
        <f>HILADO!A225</f>
        <v>0</v>
      </c>
      <c r="B187" s="127">
        <f>HILADO!B225</f>
        <v>0</v>
      </c>
    </row>
    <row r="188" spans="1:2" ht="15" thickBot="1">
      <c r="A188" s="126">
        <f>HILADO!A226</f>
        <v>0</v>
      </c>
      <c r="B188" s="127">
        <f>HILADO!B226</f>
        <v>0</v>
      </c>
    </row>
    <row r="189" spans="1:2" ht="15" thickBot="1">
      <c r="A189" s="126">
        <f>HILADO!A227</f>
        <v>0</v>
      </c>
      <c r="B189" s="127">
        <f>HILADO!B227</f>
        <v>0</v>
      </c>
    </row>
    <row r="190" spans="1:2" ht="15" thickBot="1">
      <c r="A190" s="126">
        <f>HILADO!A228</f>
        <v>0</v>
      </c>
      <c r="B190" s="127">
        <f>HILADO!B228</f>
        <v>0</v>
      </c>
    </row>
    <row r="191" spans="1:2" ht="15" thickBot="1">
      <c r="A191" s="126">
        <f>HILADO!A229</f>
        <v>0</v>
      </c>
      <c r="B191" s="127">
        <f>HILADO!B229</f>
        <v>0</v>
      </c>
    </row>
    <row r="192" spans="1:2" ht="15" thickBot="1">
      <c r="A192" s="126">
        <f>HILADO!A230</f>
        <v>0</v>
      </c>
      <c r="B192" s="127">
        <f>HILADO!B230</f>
        <v>0</v>
      </c>
    </row>
    <row r="193" spans="1:2" ht="15" thickBot="1">
      <c r="A193" s="126">
        <f>HILADO!A231</f>
        <v>0</v>
      </c>
      <c r="B193" s="127">
        <f>HILADO!B231</f>
        <v>0</v>
      </c>
    </row>
    <row r="194" spans="1:2" ht="15" thickBot="1">
      <c r="A194" s="126">
        <f>HILADO!A232</f>
        <v>0</v>
      </c>
      <c r="B194" s="127">
        <f>HILADO!B232</f>
        <v>0</v>
      </c>
    </row>
    <row r="195" spans="1:2" ht="15" thickBot="1">
      <c r="A195" s="126">
        <f>HILADO!A233</f>
        <v>0</v>
      </c>
      <c r="B195" s="127">
        <f>HILADO!B233</f>
        <v>0</v>
      </c>
    </row>
    <row r="196" spans="1:2" ht="15" thickBot="1">
      <c r="A196" s="126">
        <f>HILADO!A234</f>
        <v>0</v>
      </c>
      <c r="B196" s="127">
        <f>HILADO!B234</f>
        <v>0</v>
      </c>
    </row>
    <row r="197" spans="1:2" ht="15" thickBot="1">
      <c r="A197" s="126">
        <f>HILADO!A235</f>
        <v>0</v>
      </c>
      <c r="B197" s="127">
        <f>HILADO!B235</f>
        <v>0</v>
      </c>
    </row>
    <row r="198" spans="1:2" ht="15" thickBot="1">
      <c r="A198" s="126">
        <f>HILADO!A236</f>
        <v>0</v>
      </c>
      <c r="B198" s="127">
        <f>HILADO!B236</f>
        <v>0</v>
      </c>
    </row>
    <row r="199" spans="1:2" ht="15" thickBot="1">
      <c r="A199" s="126">
        <f>HILADO!A237</f>
        <v>0</v>
      </c>
      <c r="B199" s="127">
        <f>HILADO!B237</f>
        <v>0</v>
      </c>
    </row>
    <row r="200" spans="1:2" ht="15" thickBot="1">
      <c r="A200" s="126">
        <f>HILADO!A238</f>
        <v>0</v>
      </c>
      <c r="B200" s="127">
        <f>HILADO!B238</f>
        <v>0</v>
      </c>
    </row>
    <row r="201" spans="1:2" ht="15" thickBot="1">
      <c r="A201" s="126">
        <f>HILADO!A239</f>
        <v>0</v>
      </c>
      <c r="B201" s="127">
        <f>HILADO!B239</f>
        <v>0</v>
      </c>
    </row>
    <row r="202" spans="1:2" ht="15" thickBot="1">
      <c r="A202" s="126">
        <f>HILADO!A240</f>
        <v>0</v>
      </c>
      <c r="B202" s="127">
        <f>HILADO!B240</f>
        <v>0</v>
      </c>
    </row>
    <row r="203" spans="1:2" ht="15" thickBot="1">
      <c r="A203" s="126">
        <f>HILADO!A241</f>
        <v>0</v>
      </c>
      <c r="B203" s="127">
        <f>HILADO!B241</f>
        <v>0</v>
      </c>
    </row>
    <row r="204" spans="1:2" ht="15" thickBot="1">
      <c r="A204" s="126">
        <f>HILADO!A242</f>
        <v>0</v>
      </c>
      <c r="B204" s="127">
        <f>HILADO!B242</f>
        <v>0</v>
      </c>
    </row>
    <row r="205" spans="1:2" ht="15" thickBot="1">
      <c r="A205" s="126">
        <f>HILADO!A243</f>
        <v>0</v>
      </c>
      <c r="B205" s="127">
        <f>HILADO!B243</f>
        <v>0</v>
      </c>
    </row>
    <row r="206" spans="1:2" ht="15" thickBot="1">
      <c r="A206" s="126">
        <f>HILADO!A244</f>
        <v>0</v>
      </c>
      <c r="B206" s="127">
        <f>HILADO!B244</f>
        <v>0</v>
      </c>
    </row>
    <row r="207" spans="1:2" ht="15" thickBot="1">
      <c r="A207" s="126">
        <f>HILADO!A245</f>
        <v>0</v>
      </c>
      <c r="B207" s="127">
        <f>HILADO!B245</f>
        <v>0</v>
      </c>
    </row>
    <row r="208" spans="1:2" ht="15" thickBot="1">
      <c r="A208" s="126">
        <f>HILADO!A246</f>
        <v>0</v>
      </c>
      <c r="B208" s="127">
        <f>HILADO!B246</f>
        <v>0</v>
      </c>
    </row>
    <row r="209" spans="1:2" ht="15" thickBot="1">
      <c r="A209" s="126">
        <f>HILADO!A247</f>
        <v>0</v>
      </c>
      <c r="B209" s="127">
        <f>HILADO!B247</f>
        <v>0</v>
      </c>
    </row>
    <row r="210" spans="1:2" ht="15" thickBot="1">
      <c r="A210" s="126">
        <f>HILADO!A248</f>
        <v>0</v>
      </c>
      <c r="B210" s="127">
        <f>HILADO!B248</f>
        <v>0</v>
      </c>
    </row>
    <row r="211" spans="1:2" ht="15" thickBot="1">
      <c r="A211" s="126">
        <f>HILADO!A249</f>
        <v>0</v>
      </c>
      <c r="B211" s="127">
        <f>HILADO!B249</f>
        <v>0</v>
      </c>
    </row>
    <row r="212" spans="1:2" ht="15" thickBot="1">
      <c r="A212" s="126">
        <f>HILADO!A250</f>
        <v>0</v>
      </c>
      <c r="B212" s="127">
        <f>HILADO!B250</f>
        <v>0</v>
      </c>
    </row>
    <row r="213" spans="1:2" ht="15" thickBot="1">
      <c r="A213" s="126">
        <f>HILADO!A251</f>
        <v>0</v>
      </c>
      <c r="B213" s="127">
        <f>HILADO!B251</f>
        <v>0</v>
      </c>
    </row>
    <row r="214" spans="1:2" ht="15" thickBot="1">
      <c r="A214" s="126">
        <f>HILADO!A252</f>
        <v>0</v>
      </c>
      <c r="B214" s="127">
        <f>HILADO!B252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08FF-8A0F-4BE1-9D2B-053A1952CE67}">
  <dimension ref="A1:I63"/>
  <sheetViews>
    <sheetView workbookViewId="0">
      <pane ySplit="1" topLeftCell="A8" activePane="bottomLeft" state="frozen"/>
      <selection pane="bottomLeft" activeCell="E36" sqref="E36"/>
    </sheetView>
  </sheetViews>
  <sheetFormatPr baseColWidth="10" defaultRowHeight="14.4"/>
  <cols>
    <col min="2" max="2" width="16.109375" customWidth="1"/>
    <col min="3" max="3" width="15.77734375" customWidth="1"/>
    <col min="5" max="5" width="13" customWidth="1"/>
    <col min="6" max="6" width="15.44140625" customWidth="1"/>
    <col min="7" max="7" width="19.5546875" customWidth="1"/>
    <col min="8" max="8" width="34.6640625" customWidth="1"/>
  </cols>
  <sheetData>
    <row r="1" spans="1:8" ht="31.2" customHeight="1">
      <c r="A1" s="189" t="s">
        <v>449</v>
      </c>
      <c r="B1" s="189" t="s">
        <v>450</v>
      </c>
      <c r="C1" s="189" t="s">
        <v>268</v>
      </c>
      <c r="D1" s="189" t="s">
        <v>451</v>
      </c>
      <c r="E1" s="192" t="s">
        <v>270</v>
      </c>
      <c r="F1" s="189" t="s">
        <v>454</v>
      </c>
      <c r="G1" s="189" t="s">
        <v>452</v>
      </c>
      <c r="H1" s="188" t="s">
        <v>433</v>
      </c>
    </row>
    <row r="2" spans="1:8">
      <c r="A2" s="191">
        <v>46062</v>
      </c>
      <c r="B2" s="190" t="s">
        <v>453</v>
      </c>
      <c r="C2" s="190">
        <v>75</v>
      </c>
      <c r="D2" s="190">
        <v>6</v>
      </c>
      <c r="E2" s="190">
        <v>18.600000000000001</v>
      </c>
      <c r="F2" s="190">
        <v>9.4E-2</v>
      </c>
      <c r="G2" s="190" t="s">
        <v>455</v>
      </c>
      <c r="H2" s="7"/>
    </row>
    <row r="3" spans="1:8">
      <c r="A3" s="191">
        <v>46062</v>
      </c>
      <c r="B3" s="190" t="s">
        <v>453</v>
      </c>
      <c r="C3" s="190">
        <v>76</v>
      </c>
      <c r="D3" s="190">
        <v>8</v>
      </c>
      <c r="E3" s="190">
        <v>24.4</v>
      </c>
      <c r="F3" s="190">
        <v>0.55800000000000005</v>
      </c>
      <c r="G3" s="190" t="s">
        <v>455</v>
      </c>
      <c r="H3" s="7"/>
    </row>
    <row r="4" spans="1:8">
      <c r="A4" s="191">
        <v>46063</v>
      </c>
      <c r="B4" s="190" t="s">
        <v>453</v>
      </c>
      <c r="C4" s="190">
        <v>77</v>
      </c>
      <c r="D4" s="190">
        <v>6</v>
      </c>
      <c r="E4" s="190">
        <v>21.55</v>
      </c>
      <c r="F4" s="190">
        <v>0.88600000000000001</v>
      </c>
      <c r="G4" s="190" t="s">
        <v>455</v>
      </c>
      <c r="H4" s="7"/>
    </row>
    <row r="5" spans="1:8">
      <c r="A5" s="191">
        <v>46063</v>
      </c>
      <c r="B5" s="190" t="s">
        <v>453</v>
      </c>
      <c r="C5" s="190">
        <v>78</v>
      </c>
      <c r="D5" s="190"/>
      <c r="E5" s="190">
        <v>40.5</v>
      </c>
      <c r="F5" s="190">
        <v>2.4900000000000002</v>
      </c>
      <c r="G5" s="190" t="s">
        <v>456</v>
      </c>
      <c r="H5" s="7"/>
    </row>
    <row r="6" spans="1:8">
      <c r="A6" s="191">
        <v>46063</v>
      </c>
      <c r="B6" s="190" t="s">
        <v>453</v>
      </c>
      <c r="C6" s="190">
        <v>79</v>
      </c>
      <c r="D6" s="190">
        <v>10</v>
      </c>
      <c r="E6" s="190">
        <v>30.35</v>
      </c>
      <c r="F6" s="190">
        <v>2.35</v>
      </c>
      <c r="G6" s="190" t="s">
        <v>455</v>
      </c>
      <c r="H6" s="7"/>
    </row>
    <row r="7" spans="1:8">
      <c r="A7" s="191">
        <v>46063</v>
      </c>
      <c r="B7" s="190" t="s">
        <v>421</v>
      </c>
      <c r="C7" s="190">
        <v>80</v>
      </c>
      <c r="D7" s="190">
        <v>12</v>
      </c>
      <c r="E7" s="190">
        <v>35.65</v>
      </c>
      <c r="F7" s="190">
        <v>2.39</v>
      </c>
      <c r="G7" s="190" t="s">
        <v>456</v>
      </c>
      <c r="H7" s="7"/>
    </row>
    <row r="8" spans="1:8">
      <c r="A8" s="191">
        <v>46063</v>
      </c>
      <c r="B8" s="190" t="s">
        <v>453</v>
      </c>
      <c r="C8" s="190">
        <v>81</v>
      </c>
      <c r="D8" s="190"/>
      <c r="E8" s="190">
        <v>37.799999999999997</v>
      </c>
      <c r="F8" s="190">
        <v>2.1640000000000001</v>
      </c>
      <c r="G8" s="190" t="s">
        <v>455</v>
      </c>
      <c r="H8" s="7"/>
    </row>
    <row r="9" spans="1:8">
      <c r="A9" s="194">
        <v>46063</v>
      </c>
      <c r="B9" s="193" t="s">
        <v>453</v>
      </c>
      <c r="C9" s="193">
        <v>82</v>
      </c>
      <c r="D9" s="193"/>
      <c r="E9" s="193">
        <v>48.8</v>
      </c>
      <c r="F9" s="193">
        <v>0.83</v>
      </c>
      <c r="G9" s="193" t="s">
        <v>455</v>
      </c>
      <c r="H9" s="242" t="s">
        <v>461</v>
      </c>
    </row>
    <row r="10" spans="1:8">
      <c r="A10" s="191">
        <v>46063</v>
      </c>
      <c r="B10" s="190" t="s">
        <v>453</v>
      </c>
      <c r="C10" s="190">
        <v>83</v>
      </c>
      <c r="D10" s="190"/>
      <c r="E10" s="190">
        <v>41.35</v>
      </c>
      <c r="F10" s="190">
        <v>2.37</v>
      </c>
      <c r="G10" s="190" t="s">
        <v>455</v>
      </c>
      <c r="H10" s="7"/>
    </row>
    <row r="11" spans="1:8">
      <c r="A11" s="191">
        <v>46063</v>
      </c>
      <c r="B11" s="190" t="s">
        <v>453</v>
      </c>
      <c r="C11" s="190">
        <v>84</v>
      </c>
      <c r="D11" s="190"/>
      <c r="E11" s="190">
        <v>43.15</v>
      </c>
      <c r="F11" s="190">
        <v>2.0720000000000001</v>
      </c>
      <c r="G11" s="190" t="s">
        <v>455</v>
      </c>
      <c r="H11" s="7"/>
    </row>
    <row r="12" spans="1:8">
      <c r="A12" s="191">
        <v>46064</v>
      </c>
      <c r="B12" s="190" t="s">
        <v>453</v>
      </c>
      <c r="C12" s="190">
        <v>85</v>
      </c>
      <c r="D12" s="190"/>
      <c r="E12" s="190">
        <v>41.15</v>
      </c>
      <c r="F12" s="190">
        <v>3.01</v>
      </c>
      <c r="G12" s="190" t="s">
        <v>455</v>
      </c>
      <c r="H12" s="7"/>
    </row>
    <row r="13" spans="1:8">
      <c r="A13" s="194">
        <v>46064</v>
      </c>
      <c r="B13" s="193" t="s">
        <v>453</v>
      </c>
      <c r="C13" s="193">
        <v>86</v>
      </c>
      <c r="D13" s="193"/>
      <c r="E13" s="193">
        <v>43.3</v>
      </c>
      <c r="F13" s="193">
        <v>0.71599999999999997</v>
      </c>
      <c r="G13" s="193" t="s">
        <v>455</v>
      </c>
      <c r="H13" s="197" t="s">
        <v>459</v>
      </c>
    </row>
    <row r="14" spans="1:8">
      <c r="A14" s="194">
        <v>46064</v>
      </c>
      <c r="B14" s="193" t="s">
        <v>453</v>
      </c>
      <c r="C14" s="193">
        <v>87</v>
      </c>
      <c r="D14" s="193"/>
      <c r="E14" s="193">
        <v>52.4</v>
      </c>
      <c r="F14" s="193"/>
      <c r="G14" s="193" t="s">
        <v>455</v>
      </c>
      <c r="H14" s="197" t="s">
        <v>459</v>
      </c>
    </row>
    <row r="15" spans="1:8">
      <c r="A15" s="191">
        <v>46064</v>
      </c>
      <c r="B15" s="190" t="s">
        <v>453</v>
      </c>
      <c r="C15" s="190">
        <v>88</v>
      </c>
      <c r="D15" s="190"/>
      <c r="E15" s="190">
        <v>54.15</v>
      </c>
      <c r="F15" s="190">
        <v>2.37</v>
      </c>
      <c r="G15" s="190" t="s">
        <v>456</v>
      </c>
      <c r="H15" s="7"/>
    </row>
    <row r="16" spans="1:8">
      <c r="A16" s="191">
        <v>46064</v>
      </c>
      <c r="B16" s="190" t="s">
        <v>453</v>
      </c>
      <c r="C16" s="190">
        <v>89</v>
      </c>
      <c r="D16" s="190"/>
      <c r="E16" s="190">
        <v>50.9</v>
      </c>
      <c r="F16" s="190">
        <v>1.26</v>
      </c>
      <c r="G16" s="190" t="s">
        <v>456</v>
      </c>
      <c r="H16" s="7"/>
    </row>
    <row r="17" spans="1:9">
      <c r="A17" s="191">
        <v>46066</v>
      </c>
      <c r="B17" s="190" t="s">
        <v>453</v>
      </c>
      <c r="C17" s="190">
        <v>90</v>
      </c>
      <c r="D17" s="190"/>
      <c r="E17" s="190">
        <v>51.75</v>
      </c>
      <c r="F17" s="190">
        <v>1.52</v>
      </c>
      <c r="G17" s="190" t="s">
        <v>456</v>
      </c>
      <c r="H17" s="7"/>
    </row>
    <row r="18" spans="1:9">
      <c r="A18" s="191">
        <v>46066</v>
      </c>
      <c r="B18" s="190" t="s">
        <v>453</v>
      </c>
      <c r="C18" s="190">
        <v>91</v>
      </c>
      <c r="D18" s="190"/>
      <c r="E18" s="190">
        <v>59.35</v>
      </c>
      <c r="F18" s="190">
        <v>1.36</v>
      </c>
      <c r="G18" s="190" t="s">
        <v>456</v>
      </c>
      <c r="H18" s="7"/>
    </row>
    <row r="19" spans="1:9">
      <c r="A19" s="191">
        <v>46066</v>
      </c>
      <c r="B19" s="190" t="s">
        <v>491</v>
      </c>
      <c r="C19" s="190">
        <v>92</v>
      </c>
      <c r="D19" s="190"/>
      <c r="E19" s="190">
        <v>247.9</v>
      </c>
      <c r="F19" s="190">
        <v>2.4500000000000002</v>
      </c>
      <c r="G19" s="190" t="s">
        <v>456</v>
      </c>
      <c r="H19" s="7"/>
    </row>
    <row r="20" spans="1:9">
      <c r="A20" s="191">
        <v>46066</v>
      </c>
      <c r="B20" s="190" t="s">
        <v>453</v>
      </c>
      <c r="C20" s="190">
        <v>93</v>
      </c>
      <c r="D20" s="190"/>
      <c r="E20" s="190">
        <v>48.95</v>
      </c>
      <c r="F20" s="190">
        <v>1.31</v>
      </c>
      <c r="G20" s="190" t="s">
        <v>456</v>
      </c>
      <c r="H20" s="7"/>
    </row>
    <row r="21" spans="1:9">
      <c r="A21" s="253"/>
      <c r="B21" s="253"/>
      <c r="C21" s="253">
        <v>94</v>
      </c>
      <c r="D21" s="253"/>
      <c r="E21" s="253"/>
      <c r="F21" s="253"/>
      <c r="G21" s="253"/>
      <c r="H21" s="254"/>
    </row>
    <row r="22" spans="1:9">
      <c r="A22" s="255">
        <v>46069</v>
      </c>
      <c r="B22" s="253" t="s">
        <v>492</v>
      </c>
      <c r="C22" s="253">
        <v>95</v>
      </c>
      <c r="D22" s="253"/>
      <c r="E22" s="253">
        <v>235.3</v>
      </c>
      <c r="F22" s="253">
        <v>8.5</v>
      </c>
      <c r="G22" s="253" t="s">
        <v>456</v>
      </c>
      <c r="H22" s="254"/>
    </row>
    <row r="23" spans="1:9">
      <c r="A23" s="191">
        <v>46066</v>
      </c>
      <c r="B23" s="190" t="s">
        <v>421</v>
      </c>
      <c r="C23" s="190">
        <v>96</v>
      </c>
      <c r="D23" s="190"/>
      <c r="E23" s="190">
        <v>48.2</v>
      </c>
      <c r="F23" s="190">
        <v>0.53</v>
      </c>
      <c r="G23" s="190" t="s">
        <v>456</v>
      </c>
      <c r="H23" s="7"/>
    </row>
    <row r="24" spans="1:9">
      <c r="A24" s="191">
        <v>46066</v>
      </c>
      <c r="B24" s="190" t="s">
        <v>421</v>
      </c>
      <c r="C24" s="190">
        <v>97</v>
      </c>
      <c r="D24" s="190"/>
      <c r="E24" s="190">
        <v>50.35</v>
      </c>
      <c r="F24" s="190">
        <v>1.06</v>
      </c>
      <c r="G24" s="190" t="s">
        <v>456</v>
      </c>
      <c r="H24" s="7"/>
    </row>
    <row r="25" spans="1:9">
      <c r="A25" s="191">
        <v>46066</v>
      </c>
      <c r="B25" s="190" t="s">
        <v>421</v>
      </c>
      <c r="C25" s="190">
        <v>98</v>
      </c>
      <c r="D25" s="190"/>
      <c r="E25" s="190">
        <v>52.06</v>
      </c>
      <c r="F25" s="190">
        <v>0.4</v>
      </c>
      <c r="G25" s="190" t="s">
        <v>455</v>
      </c>
      <c r="H25" s="7"/>
    </row>
    <row r="26" spans="1:9">
      <c r="A26" s="191">
        <v>46067</v>
      </c>
      <c r="B26" s="190" t="s">
        <v>453</v>
      </c>
      <c r="C26" s="190">
        <v>99</v>
      </c>
      <c r="D26" s="190"/>
      <c r="E26" s="190">
        <v>54.05</v>
      </c>
      <c r="F26" s="190">
        <v>1.58</v>
      </c>
      <c r="G26" s="190" t="s">
        <v>456</v>
      </c>
      <c r="H26" s="7"/>
    </row>
    <row r="27" spans="1:9">
      <c r="A27" s="191">
        <v>46067</v>
      </c>
      <c r="B27" s="190" t="s">
        <v>421</v>
      </c>
      <c r="C27" s="190">
        <v>100</v>
      </c>
      <c r="D27" s="190"/>
      <c r="E27" s="190">
        <v>42.9</v>
      </c>
      <c r="F27" s="190">
        <v>1.05</v>
      </c>
      <c r="G27" s="190" t="s">
        <v>456</v>
      </c>
      <c r="H27" s="7"/>
    </row>
    <row r="28" spans="1:9">
      <c r="A28" s="191">
        <v>46067</v>
      </c>
      <c r="B28" s="190" t="s">
        <v>453</v>
      </c>
      <c r="C28" s="190">
        <v>101</v>
      </c>
      <c r="D28" s="190"/>
      <c r="E28" s="190">
        <v>48.35</v>
      </c>
      <c r="F28" s="190">
        <v>1.32</v>
      </c>
      <c r="G28" s="190" t="s">
        <v>456</v>
      </c>
      <c r="H28" s="7"/>
    </row>
    <row r="29" spans="1:9">
      <c r="A29" s="191">
        <v>46069</v>
      </c>
      <c r="B29" s="190" t="s">
        <v>492</v>
      </c>
      <c r="C29" s="190">
        <v>102</v>
      </c>
      <c r="D29" s="190"/>
      <c r="E29" s="190">
        <v>246.55</v>
      </c>
      <c r="F29" s="190">
        <v>5.0579999999999998</v>
      </c>
      <c r="G29" s="190" t="s">
        <v>455</v>
      </c>
      <c r="H29" s="7" t="s">
        <v>493</v>
      </c>
    </row>
    <row r="30" spans="1:9">
      <c r="A30" s="191">
        <v>46070</v>
      </c>
      <c r="B30" s="190" t="s">
        <v>453</v>
      </c>
      <c r="C30" s="190">
        <v>72</v>
      </c>
      <c r="D30" s="190"/>
      <c r="E30" s="190">
        <v>46.1</v>
      </c>
      <c r="F30" s="190">
        <v>12.75</v>
      </c>
      <c r="G30" s="190" t="s">
        <v>494</v>
      </c>
      <c r="H30" s="7" t="s">
        <v>495</v>
      </c>
    </row>
    <row r="31" spans="1:9">
      <c r="A31" s="191">
        <v>46070</v>
      </c>
      <c r="B31" s="190" t="s">
        <v>421</v>
      </c>
      <c r="C31" s="190">
        <v>73</v>
      </c>
      <c r="D31" s="190"/>
      <c r="E31" s="190">
        <v>33.9</v>
      </c>
      <c r="F31" s="190">
        <v>17.45</v>
      </c>
      <c r="G31" s="190" t="s">
        <v>494</v>
      </c>
      <c r="H31" s="7" t="s">
        <v>496</v>
      </c>
    </row>
    <row r="32" spans="1:9">
      <c r="A32" s="191">
        <v>46070</v>
      </c>
      <c r="B32" s="190" t="s">
        <v>453</v>
      </c>
      <c r="C32" s="190">
        <v>69</v>
      </c>
      <c r="D32" s="190"/>
      <c r="E32" s="190">
        <v>39.1</v>
      </c>
      <c r="F32" s="190">
        <v>13.59</v>
      </c>
      <c r="G32" s="190" t="s">
        <v>455</v>
      </c>
      <c r="H32" s="7" t="s">
        <v>497</v>
      </c>
      <c r="I32">
        <f>243+230+235</f>
        <v>708</v>
      </c>
    </row>
    <row r="33" spans="1:9">
      <c r="A33" s="191">
        <v>46071</v>
      </c>
      <c r="B33" s="190" t="s">
        <v>492</v>
      </c>
      <c r="C33" s="256">
        <v>103</v>
      </c>
      <c r="D33" s="190"/>
      <c r="E33" s="190">
        <v>232.95</v>
      </c>
      <c r="F33" s="190">
        <v>5.8360000000000003</v>
      </c>
      <c r="G33" s="190" t="s">
        <v>408</v>
      </c>
      <c r="H33" s="7"/>
      <c r="I33" t="s">
        <v>408</v>
      </c>
    </row>
    <row r="34" spans="1:9">
      <c r="A34" s="191">
        <v>46072</v>
      </c>
      <c r="B34" s="190" t="s">
        <v>492</v>
      </c>
      <c r="C34" s="190">
        <v>104</v>
      </c>
      <c r="D34" s="190"/>
      <c r="E34" s="190">
        <v>239.15</v>
      </c>
      <c r="F34" s="190"/>
      <c r="G34" s="190" t="s">
        <v>494</v>
      </c>
      <c r="H34" s="7"/>
    </row>
    <row r="35" spans="1:9">
      <c r="A35" s="191">
        <v>46076</v>
      </c>
      <c r="B35" s="190" t="s">
        <v>548</v>
      </c>
      <c r="C35" s="190" t="s">
        <v>549</v>
      </c>
      <c r="D35" s="190"/>
      <c r="E35" s="190">
        <v>39.590000000000003</v>
      </c>
      <c r="F35" s="190"/>
      <c r="G35" s="190" t="s">
        <v>494</v>
      </c>
      <c r="H35" s="7">
        <v>1.27</v>
      </c>
    </row>
    <row r="36" spans="1:9">
      <c r="A36" s="191">
        <v>46076</v>
      </c>
      <c r="B36" s="190" t="s">
        <v>548</v>
      </c>
      <c r="C36" s="190" t="s">
        <v>550</v>
      </c>
      <c r="D36" s="190"/>
      <c r="E36" s="190" t="s">
        <v>408</v>
      </c>
      <c r="F36" s="190"/>
      <c r="G36" s="190" t="s">
        <v>494</v>
      </c>
      <c r="H36" s="7">
        <v>1.52</v>
      </c>
    </row>
    <row r="37" spans="1:9">
      <c r="A37" s="191">
        <v>46076</v>
      </c>
      <c r="B37" s="190" t="s">
        <v>551</v>
      </c>
      <c r="C37" s="190">
        <v>106</v>
      </c>
      <c r="D37" s="190"/>
      <c r="E37" s="190">
        <v>19.72</v>
      </c>
      <c r="F37" s="190"/>
      <c r="G37" s="190" t="s">
        <v>494</v>
      </c>
      <c r="H37" s="7">
        <v>0.49</v>
      </c>
    </row>
    <row r="38" spans="1:9">
      <c r="A38" s="191">
        <v>46076</v>
      </c>
      <c r="B38" s="190" t="s">
        <v>551</v>
      </c>
      <c r="C38" s="190">
        <v>107</v>
      </c>
      <c r="D38" s="190"/>
      <c r="E38" s="190">
        <v>17.600000000000001</v>
      </c>
      <c r="F38" s="190"/>
      <c r="G38" s="190" t="s">
        <v>494</v>
      </c>
      <c r="H38" s="7">
        <v>0.41</v>
      </c>
    </row>
    <row r="39" spans="1:9">
      <c r="A39" s="191">
        <v>46076</v>
      </c>
      <c r="B39" s="190" t="s">
        <v>551</v>
      </c>
      <c r="C39" s="190">
        <v>108</v>
      </c>
      <c r="D39" s="190"/>
      <c r="E39" s="190">
        <v>18.04</v>
      </c>
      <c r="F39" s="190"/>
      <c r="G39" s="190" t="s">
        <v>494</v>
      </c>
      <c r="H39" s="7">
        <v>0.41399999999999998</v>
      </c>
    </row>
    <row r="40" spans="1:9">
      <c r="A40" s="191">
        <v>46076</v>
      </c>
      <c r="B40" s="190" t="s">
        <v>551</v>
      </c>
      <c r="C40" s="190">
        <v>109</v>
      </c>
      <c r="D40" s="190"/>
      <c r="E40" s="190">
        <v>36.51</v>
      </c>
      <c r="F40" s="190"/>
      <c r="G40" s="190" t="s">
        <v>494</v>
      </c>
      <c r="H40" s="7">
        <v>0.94599999999999995</v>
      </c>
    </row>
    <row r="41" spans="1:9">
      <c r="A41" s="191">
        <v>46076</v>
      </c>
      <c r="B41" s="190" t="s">
        <v>551</v>
      </c>
      <c r="C41" s="256">
        <v>110</v>
      </c>
      <c r="D41" s="190"/>
      <c r="E41" s="190">
        <v>43.76</v>
      </c>
      <c r="F41" s="190"/>
      <c r="G41" s="190" t="s">
        <v>494</v>
      </c>
      <c r="H41" s="7">
        <v>0.97</v>
      </c>
    </row>
    <row r="42" spans="1:9">
      <c r="A42" s="191">
        <v>46104</v>
      </c>
      <c r="B42" s="190" t="s">
        <v>551</v>
      </c>
      <c r="C42" s="190">
        <v>111</v>
      </c>
      <c r="D42" s="190"/>
      <c r="E42" s="190">
        <v>43.76</v>
      </c>
      <c r="F42" s="190"/>
      <c r="G42" s="190" t="s">
        <v>455</v>
      </c>
      <c r="H42" s="7">
        <v>0.95199999999999996</v>
      </c>
    </row>
    <row r="43" spans="1:9">
      <c r="A43" s="191">
        <v>46077</v>
      </c>
      <c r="B43" s="190" t="s">
        <v>551</v>
      </c>
      <c r="C43" s="190">
        <v>112</v>
      </c>
      <c r="D43" s="190"/>
      <c r="E43" s="190">
        <v>46.6</v>
      </c>
      <c r="F43" s="190"/>
      <c r="G43" s="190" t="s">
        <v>455</v>
      </c>
      <c r="H43" s="7">
        <v>1.032</v>
      </c>
    </row>
    <row r="44" spans="1:9">
      <c r="A44" s="191">
        <v>46077</v>
      </c>
      <c r="B44" s="190" t="s">
        <v>551</v>
      </c>
      <c r="C44" s="190">
        <v>113</v>
      </c>
      <c r="D44" s="190"/>
      <c r="E44" s="190">
        <v>32.22</v>
      </c>
      <c r="F44" s="190"/>
      <c r="G44" s="190" t="s">
        <v>455</v>
      </c>
      <c r="H44" s="7">
        <v>0.73599999999999999</v>
      </c>
    </row>
    <row r="45" spans="1:9">
      <c r="A45" s="191">
        <v>46077</v>
      </c>
      <c r="B45" s="190" t="s">
        <v>551</v>
      </c>
      <c r="C45" s="190">
        <v>114</v>
      </c>
      <c r="D45" s="190"/>
      <c r="E45" s="190">
        <v>38.6</v>
      </c>
      <c r="F45" s="190"/>
      <c r="G45" s="190" t="s">
        <v>455</v>
      </c>
      <c r="H45" s="7">
        <v>0.77</v>
      </c>
    </row>
    <row r="46" spans="1:9">
      <c r="A46" s="191">
        <v>46077</v>
      </c>
      <c r="B46" s="190" t="s">
        <v>551</v>
      </c>
      <c r="C46" s="190">
        <v>115</v>
      </c>
      <c r="D46" s="190"/>
      <c r="E46" s="190">
        <v>44.35</v>
      </c>
      <c r="F46" s="190"/>
      <c r="G46" s="190" t="s">
        <v>455</v>
      </c>
      <c r="H46" s="7">
        <v>1.1040000000000001</v>
      </c>
    </row>
    <row r="47" spans="1:9">
      <c r="A47" s="191">
        <v>46078</v>
      </c>
      <c r="B47" s="190" t="s">
        <v>492</v>
      </c>
      <c r="C47" s="190">
        <v>116</v>
      </c>
      <c r="D47" s="190"/>
      <c r="E47" s="190">
        <f>78.1+147.93</f>
        <v>226.03</v>
      </c>
      <c r="F47" s="190"/>
      <c r="G47" s="190"/>
      <c r="H47" s="7">
        <v>8.5000000000000006E-2</v>
      </c>
    </row>
    <row r="48" spans="1:9">
      <c r="A48" s="191">
        <v>46078</v>
      </c>
      <c r="B48" s="190" t="s">
        <v>551</v>
      </c>
      <c r="C48" s="190">
        <v>117</v>
      </c>
      <c r="D48" s="190"/>
      <c r="E48" s="190">
        <v>46.2</v>
      </c>
      <c r="F48" s="190"/>
      <c r="G48" s="190"/>
      <c r="H48" s="7"/>
    </row>
    <row r="49" spans="1:8">
      <c r="A49" s="191">
        <v>46079</v>
      </c>
      <c r="B49" s="190" t="s">
        <v>562</v>
      </c>
      <c r="C49" s="190">
        <v>118</v>
      </c>
      <c r="D49" s="190"/>
      <c r="E49" s="190">
        <v>49.17</v>
      </c>
      <c r="F49" s="190"/>
      <c r="G49" s="190"/>
      <c r="H49" s="7">
        <v>9.8000000000000004E-2</v>
      </c>
    </row>
    <row r="50" spans="1:8">
      <c r="A50" s="191">
        <v>46079</v>
      </c>
      <c r="B50" s="190" t="s">
        <v>492</v>
      </c>
      <c r="C50" s="190">
        <v>119</v>
      </c>
      <c r="D50" s="190"/>
      <c r="E50" s="190">
        <v>42.92</v>
      </c>
      <c r="F50" s="190"/>
      <c r="G50" s="190"/>
      <c r="H50" s="7"/>
    </row>
    <row r="51" spans="1:8">
      <c r="A51" s="191">
        <v>46079</v>
      </c>
      <c r="B51" s="190" t="s">
        <v>563</v>
      </c>
      <c r="C51" s="190">
        <v>120</v>
      </c>
      <c r="D51" s="190"/>
      <c r="E51" s="190">
        <v>40.72</v>
      </c>
      <c r="F51" s="190"/>
      <c r="G51" s="190"/>
      <c r="H51" s="7">
        <v>8.5000000000000006E-2</v>
      </c>
    </row>
    <row r="52" spans="1:8">
      <c r="A52" s="190"/>
      <c r="B52" s="190"/>
      <c r="C52" s="190"/>
      <c r="D52" s="190"/>
      <c r="E52" s="190"/>
      <c r="F52" s="190"/>
      <c r="G52" s="190"/>
      <c r="H52" s="7"/>
    </row>
    <row r="53" spans="1:8">
      <c r="A53" s="190"/>
      <c r="B53" s="190"/>
      <c r="C53" s="190"/>
      <c r="D53" s="190"/>
      <c r="E53" s="190"/>
      <c r="F53" s="190"/>
      <c r="G53" s="190"/>
      <c r="H53" s="7"/>
    </row>
    <row r="54" spans="1:8">
      <c r="A54" s="190"/>
      <c r="B54" s="190"/>
      <c r="C54" s="190"/>
      <c r="D54" s="190"/>
      <c r="E54" s="190"/>
      <c r="F54" s="190"/>
      <c r="G54" s="190"/>
      <c r="H54" s="7"/>
    </row>
    <row r="55" spans="1:8">
      <c r="A55" s="190"/>
      <c r="B55" s="190"/>
      <c r="C55" s="190"/>
      <c r="D55" s="190"/>
      <c r="E55" s="190"/>
      <c r="F55" s="190"/>
      <c r="G55" s="190"/>
      <c r="H55" s="7"/>
    </row>
    <row r="56" spans="1:8">
      <c r="A56" s="190"/>
      <c r="B56" s="190"/>
      <c r="C56" s="190"/>
      <c r="D56" s="190"/>
      <c r="E56" s="190"/>
      <c r="F56" s="190"/>
      <c r="G56" s="190"/>
      <c r="H56" s="7"/>
    </row>
    <row r="57" spans="1:8">
      <c r="A57" s="190"/>
      <c r="B57" s="190"/>
      <c r="C57" s="190"/>
      <c r="D57" s="190"/>
      <c r="E57" s="190"/>
      <c r="F57" s="190"/>
      <c r="G57" s="190"/>
      <c r="H57" s="7"/>
    </row>
    <row r="58" spans="1:8">
      <c r="A58" s="190"/>
      <c r="B58" s="190"/>
      <c r="C58" s="190"/>
      <c r="D58" s="190"/>
      <c r="E58" s="190"/>
      <c r="F58" s="190"/>
      <c r="G58" s="190"/>
      <c r="H58" s="7"/>
    </row>
    <row r="59" spans="1:8">
      <c r="A59" s="190"/>
      <c r="B59" s="190"/>
      <c r="C59" s="190"/>
      <c r="D59" s="190"/>
      <c r="E59" s="190"/>
      <c r="F59" s="190"/>
      <c r="G59" s="190"/>
      <c r="H59" s="7"/>
    </row>
    <row r="60" spans="1:8">
      <c r="A60" s="190"/>
      <c r="B60" s="190"/>
      <c r="C60" s="190"/>
      <c r="D60" s="190"/>
      <c r="E60" s="190"/>
      <c r="F60" s="190"/>
      <c r="G60" s="190"/>
      <c r="H60" s="7"/>
    </row>
    <row r="61" spans="1:8">
      <c r="A61" s="190"/>
      <c r="B61" s="190"/>
      <c r="C61" s="190"/>
      <c r="D61" s="190"/>
      <c r="E61" s="190"/>
      <c r="F61" s="190"/>
      <c r="G61" s="190"/>
      <c r="H61" s="7"/>
    </row>
    <row r="62" spans="1:8">
      <c r="A62" s="190"/>
      <c r="B62" s="190"/>
      <c r="C62" s="190"/>
      <c r="D62" s="190"/>
      <c r="E62" s="190"/>
      <c r="F62" s="190"/>
      <c r="G62" s="190"/>
      <c r="H62" s="7"/>
    </row>
    <row r="63" spans="1:8">
      <c r="A63" s="190"/>
      <c r="B63" s="190"/>
      <c r="C63" s="190"/>
      <c r="D63" s="190"/>
      <c r="E63" s="190"/>
      <c r="F63" s="190"/>
      <c r="G63" s="190"/>
      <c r="H63" s="7"/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7"/>
  <sheetViews>
    <sheetView workbookViewId="0">
      <selection activeCell="G15" sqref="G15"/>
    </sheetView>
  </sheetViews>
  <sheetFormatPr baseColWidth="10" defaultColWidth="11" defaultRowHeight="14.4"/>
  <cols>
    <col min="1" max="1" width="12.6640625" customWidth="1"/>
    <col min="2" max="2" width="26.6640625" customWidth="1"/>
    <col min="3" max="3" width="28.33203125" customWidth="1"/>
    <col min="4" max="4" width="28.44140625" customWidth="1"/>
    <col min="5" max="5" width="25" customWidth="1"/>
    <col min="6" max="6" width="22.33203125" customWidth="1"/>
    <col min="7" max="7" width="14.33203125" customWidth="1"/>
  </cols>
  <sheetData>
    <row r="1" spans="1:7">
      <c r="A1" s="20" t="s">
        <v>267</v>
      </c>
      <c r="B1" s="21" t="s">
        <v>90</v>
      </c>
      <c r="C1" s="22" t="s">
        <v>43</v>
      </c>
      <c r="D1" s="22" t="s">
        <v>63</v>
      </c>
      <c r="E1" s="22" t="s">
        <v>40</v>
      </c>
      <c r="F1" s="22" t="s">
        <v>67</v>
      </c>
      <c r="G1" s="23" t="s">
        <v>71</v>
      </c>
    </row>
    <row r="2" spans="1:7">
      <c r="A2" s="24"/>
      <c r="B2" s="25">
        <v>46</v>
      </c>
      <c r="C2" s="26">
        <v>1.76</v>
      </c>
      <c r="D2" s="26"/>
      <c r="E2" s="26">
        <v>0.255</v>
      </c>
      <c r="F2" s="26">
        <v>6.6000000000000003E-2</v>
      </c>
      <c r="G2" s="27">
        <v>5.0000000000000001E-3</v>
      </c>
    </row>
    <row r="3" spans="1:7">
      <c r="A3" s="28">
        <v>12</v>
      </c>
      <c r="B3" s="25">
        <v>50</v>
      </c>
      <c r="C3" s="26">
        <v>3.84</v>
      </c>
      <c r="D3" s="26">
        <v>0.192</v>
      </c>
      <c r="E3" s="26">
        <v>0.36</v>
      </c>
      <c r="F3" s="26">
        <v>7.1999999999999995E-2</v>
      </c>
      <c r="G3" s="27">
        <v>5.0000000000000001E-3</v>
      </c>
    </row>
    <row r="4" spans="1:7">
      <c r="A4" s="28">
        <v>45909</v>
      </c>
      <c r="B4" s="25">
        <v>52.5</v>
      </c>
      <c r="C4" s="26">
        <v>4</v>
      </c>
      <c r="D4" s="26"/>
      <c r="E4" s="26">
        <v>0.375</v>
      </c>
      <c r="F4" s="26"/>
      <c r="G4" s="27">
        <v>5.0000000000000001E-3</v>
      </c>
    </row>
    <row r="5" spans="1:7">
      <c r="A5" s="28">
        <v>45910</v>
      </c>
      <c r="B5" s="25">
        <v>50</v>
      </c>
      <c r="C5" s="26">
        <v>3.82</v>
      </c>
      <c r="D5" s="26">
        <v>0.192</v>
      </c>
      <c r="E5" s="26">
        <v>0.36</v>
      </c>
      <c r="F5" s="26">
        <v>7.1999999999999995E-2</v>
      </c>
      <c r="G5" s="27">
        <v>5.0000000000000001E-3</v>
      </c>
    </row>
    <row r="6" spans="1:7">
      <c r="A6" s="28">
        <v>45911</v>
      </c>
      <c r="B6" s="25">
        <v>50</v>
      </c>
      <c r="C6" s="26">
        <v>3.82</v>
      </c>
      <c r="D6" s="26">
        <v>0.192</v>
      </c>
      <c r="E6" s="26">
        <v>0.36</v>
      </c>
      <c r="F6" s="26">
        <v>7.1999999999999995E-2</v>
      </c>
      <c r="G6" s="27">
        <v>5.0000000000000001E-3</v>
      </c>
    </row>
    <row r="7" spans="1:7">
      <c r="A7" s="28">
        <v>45912</v>
      </c>
      <c r="B7" s="25">
        <v>50</v>
      </c>
      <c r="C7" s="26">
        <v>3.84</v>
      </c>
      <c r="D7" s="26">
        <v>0.192</v>
      </c>
      <c r="E7" s="26">
        <v>0.192</v>
      </c>
      <c r="F7" s="26">
        <v>7.1999999999999995E-2</v>
      </c>
      <c r="G7" s="27">
        <v>5.0000000000000001E-3</v>
      </c>
    </row>
    <row r="8" spans="1:7">
      <c r="A8" s="28">
        <v>45913</v>
      </c>
      <c r="B8" s="25">
        <v>50</v>
      </c>
      <c r="C8" s="26">
        <v>1.92</v>
      </c>
      <c r="D8" s="26"/>
      <c r="E8" s="26">
        <v>0.28000000000000003</v>
      </c>
      <c r="F8" s="26">
        <v>7.1999999999999995E-2</v>
      </c>
      <c r="G8" s="27">
        <v>6.0000000000000001E-3</v>
      </c>
    </row>
    <row r="9" spans="1:7">
      <c r="A9" s="28">
        <v>45917</v>
      </c>
      <c r="B9" s="25">
        <v>50</v>
      </c>
      <c r="C9" s="26">
        <v>3.84</v>
      </c>
      <c r="D9" s="26">
        <v>0.192</v>
      </c>
      <c r="E9" s="26">
        <v>0.36</v>
      </c>
      <c r="F9" s="26">
        <v>7.1999999999999995E-2</v>
      </c>
      <c r="G9" s="27">
        <v>5.0000000000000001E-3</v>
      </c>
    </row>
    <row r="10" spans="1:7">
      <c r="A10" s="28">
        <v>45918</v>
      </c>
      <c r="B10" s="25">
        <v>50</v>
      </c>
      <c r="C10" s="26">
        <v>3.84</v>
      </c>
      <c r="D10" s="26">
        <v>0.192</v>
      </c>
      <c r="E10" s="26">
        <v>0.36</v>
      </c>
      <c r="F10" s="26">
        <v>7.1999999999999995E-2</v>
      </c>
      <c r="G10" s="27">
        <v>5.0000000000000001E-3</v>
      </c>
    </row>
    <row r="11" spans="1:7">
      <c r="A11" s="29">
        <v>46052</v>
      </c>
      <c r="B11" s="30">
        <v>34</v>
      </c>
      <c r="C11" s="31">
        <v>3.84</v>
      </c>
      <c r="D11" s="31">
        <v>0.192</v>
      </c>
      <c r="E11" s="31">
        <v>0.36</v>
      </c>
      <c r="F11" s="31">
        <v>7.1999999999999995E-2</v>
      </c>
      <c r="G11" s="32">
        <v>5.0000000000000001E-3</v>
      </c>
    </row>
    <row r="12" spans="1:7">
      <c r="A12" s="29">
        <v>46052</v>
      </c>
      <c r="B12" s="30">
        <v>10</v>
      </c>
      <c r="C12" s="31"/>
      <c r="D12" s="31"/>
      <c r="E12" s="31"/>
      <c r="F12" s="31"/>
      <c r="G12" s="32"/>
    </row>
    <row r="13" spans="1:7">
      <c r="A13" s="29">
        <v>46053</v>
      </c>
      <c r="B13" s="33">
        <v>50</v>
      </c>
      <c r="C13" s="33">
        <v>3.84</v>
      </c>
      <c r="D13" s="33">
        <v>0.192</v>
      </c>
      <c r="E13" s="33">
        <v>0.36</v>
      </c>
      <c r="F13" s="33">
        <v>7.1999999999999995E-2</v>
      </c>
      <c r="G13" s="33">
        <v>5.0000000000000001E-3</v>
      </c>
    </row>
    <row r="14" spans="1:7">
      <c r="A14" s="283">
        <v>46080</v>
      </c>
      <c r="B14" s="277">
        <v>92</v>
      </c>
      <c r="C14" s="278">
        <v>6.96</v>
      </c>
      <c r="D14" s="278">
        <v>0.3</v>
      </c>
      <c r="E14" s="278">
        <v>0.995</v>
      </c>
      <c r="F14" s="278">
        <v>0.3</v>
      </c>
      <c r="G14" s="279">
        <v>1.2E-2</v>
      </c>
    </row>
    <row r="15" spans="1:7">
      <c r="A15" s="276"/>
      <c r="B15" s="277"/>
      <c r="C15" s="278"/>
      <c r="D15" s="278"/>
      <c r="E15" s="278"/>
      <c r="F15" s="278"/>
      <c r="G15" s="279"/>
    </row>
    <row r="16" spans="1:7">
      <c r="A16" s="280"/>
      <c r="B16" s="277"/>
      <c r="C16" s="278"/>
      <c r="D16" s="278"/>
      <c r="E16" s="278"/>
      <c r="F16" s="278"/>
      <c r="G16" s="279"/>
    </row>
    <row r="17" spans="1:7">
      <c r="A17" s="280"/>
      <c r="B17" s="277"/>
      <c r="C17" s="278"/>
      <c r="D17" s="278"/>
      <c r="E17" s="278"/>
      <c r="F17" s="278"/>
      <c r="G17" s="279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9"/>
  <sheetViews>
    <sheetView topLeftCell="H1" workbookViewId="0">
      <selection activeCell="K23" sqref="K23"/>
    </sheetView>
  </sheetViews>
  <sheetFormatPr baseColWidth="10" defaultColWidth="9.109375" defaultRowHeight="14.4"/>
  <cols>
    <col min="1" max="1" width="16.109375" customWidth="1"/>
    <col min="2" max="2" width="15.6640625" customWidth="1"/>
    <col min="3" max="3" width="18.5546875" customWidth="1"/>
    <col min="4" max="4" width="24.88671875" customWidth="1"/>
    <col min="5" max="5" width="23.77734375" customWidth="1"/>
    <col min="6" max="6" width="39.33203125" customWidth="1"/>
    <col min="7" max="7" width="40.44140625" customWidth="1"/>
    <col min="8" max="8" width="22.44140625" customWidth="1"/>
    <col min="9" max="9" width="23.5546875" customWidth="1"/>
    <col min="10" max="10" width="24.77734375" customWidth="1"/>
    <col min="11" max="11" width="24" customWidth="1"/>
    <col min="12" max="12" width="25.44140625" customWidth="1"/>
    <col min="13" max="13" width="32.21875" customWidth="1"/>
    <col min="14" max="14" width="34.88671875" customWidth="1"/>
  </cols>
  <sheetData>
    <row r="1" spans="1:14" ht="21.6" customHeight="1">
      <c r="A1" s="8" t="s">
        <v>355</v>
      </c>
      <c r="B1" s="9" t="s">
        <v>88</v>
      </c>
      <c r="C1" s="9" t="s">
        <v>356</v>
      </c>
      <c r="D1" s="9" t="s">
        <v>58</v>
      </c>
      <c r="E1" s="9" t="s">
        <v>357</v>
      </c>
      <c r="F1" s="9" t="s">
        <v>49</v>
      </c>
      <c r="G1" s="9" t="s">
        <v>13</v>
      </c>
      <c r="H1" s="9" t="s">
        <v>30</v>
      </c>
      <c r="I1" s="9" t="s">
        <v>358</v>
      </c>
      <c r="J1" s="9" t="s">
        <v>28</v>
      </c>
      <c r="K1" s="9" t="s">
        <v>67</v>
      </c>
      <c r="L1" s="9" t="s">
        <v>53</v>
      </c>
      <c r="M1" s="9" t="s">
        <v>359</v>
      </c>
      <c r="N1" s="16" t="s">
        <v>360</v>
      </c>
    </row>
    <row r="2" spans="1:14">
      <c r="A2" s="10">
        <v>46052</v>
      </c>
      <c r="B2" s="11">
        <v>10.7</v>
      </c>
      <c r="C2" s="11">
        <v>7.375</v>
      </c>
      <c r="D2" s="11">
        <v>1.3380000000000001</v>
      </c>
      <c r="E2" s="11">
        <v>1.3380000000000001</v>
      </c>
      <c r="F2" s="11">
        <v>0.69896000000000003</v>
      </c>
      <c r="G2" s="11">
        <v>0.40121000000000001</v>
      </c>
      <c r="H2" s="11">
        <v>0.93598000000000003</v>
      </c>
      <c r="I2" s="11">
        <v>0.13356000000000001</v>
      </c>
      <c r="J2" s="11">
        <v>0.20033999999999999</v>
      </c>
      <c r="K2" s="11">
        <v>6.0780000000000001E-2</v>
      </c>
      <c r="L2" s="11">
        <v>0.13356000000000001</v>
      </c>
      <c r="M2" s="11">
        <v>0.26765</v>
      </c>
      <c r="N2" s="17">
        <v>6.7000000000000004E-2</v>
      </c>
    </row>
    <row r="3" spans="1:14">
      <c r="A3" s="12">
        <v>46053</v>
      </c>
      <c r="B3" s="13">
        <v>10.7</v>
      </c>
      <c r="C3" s="13">
        <v>7.375</v>
      </c>
      <c r="D3" s="13">
        <v>1.3380000000000001</v>
      </c>
      <c r="E3" s="13">
        <v>1.3380000000000001</v>
      </c>
      <c r="F3" s="13">
        <v>0.69896000000000003</v>
      </c>
      <c r="G3" s="13">
        <v>0.40121000000000001</v>
      </c>
      <c r="H3" s="13">
        <v>0.93598000000000003</v>
      </c>
      <c r="I3" s="13">
        <v>0.13356000000000001</v>
      </c>
      <c r="J3" s="13">
        <v>0.20033999999999999</v>
      </c>
      <c r="K3" s="13">
        <v>6.0780000000000001E-2</v>
      </c>
      <c r="L3" s="13">
        <v>0.13356000000000001</v>
      </c>
      <c r="M3" s="13">
        <v>0.26765</v>
      </c>
      <c r="N3" s="18">
        <v>6.7000000000000004E-2</v>
      </c>
    </row>
    <row r="4" spans="1:14">
      <c r="A4" s="10">
        <v>46055</v>
      </c>
      <c r="B4" s="11">
        <v>10.4</v>
      </c>
      <c r="C4" s="11">
        <v>9</v>
      </c>
      <c r="D4" s="11">
        <v>1.4530000000000001</v>
      </c>
      <c r="E4" s="11">
        <v>1.4530000000000001</v>
      </c>
      <c r="F4" s="11">
        <v>0.75900000000000001</v>
      </c>
      <c r="G4" s="11">
        <v>0.216</v>
      </c>
      <c r="H4" s="11">
        <v>0.18</v>
      </c>
      <c r="I4" s="11">
        <v>6.3E-2</v>
      </c>
      <c r="J4" s="11">
        <v>0.04</v>
      </c>
      <c r="K4" s="11">
        <v>6.5000000000000002E-2</v>
      </c>
      <c r="L4" s="11">
        <v>0.14499999999999999</v>
      </c>
      <c r="M4" s="11">
        <v>0.28000000000000003</v>
      </c>
      <c r="N4" s="17">
        <v>2.5000000000000001E-2</v>
      </c>
    </row>
    <row r="5" spans="1:14">
      <c r="A5" s="12">
        <v>46055</v>
      </c>
      <c r="B5" s="13">
        <v>10.4</v>
      </c>
      <c r="C5" s="13">
        <v>8</v>
      </c>
      <c r="D5" s="13">
        <v>1.4530000000000001</v>
      </c>
      <c r="E5" s="13">
        <v>1.4530000000000001</v>
      </c>
      <c r="F5" s="13">
        <v>0.75900000000000001</v>
      </c>
      <c r="G5" s="13">
        <v>0.216</v>
      </c>
      <c r="H5" s="13">
        <v>0.18</v>
      </c>
      <c r="I5" s="13">
        <v>1.4999999999999999E-2</v>
      </c>
      <c r="J5" s="13">
        <v>2.5000000000000001E-2</v>
      </c>
      <c r="K5" s="13">
        <v>6.5000000000000002E-2</v>
      </c>
      <c r="L5" s="13">
        <v>0.14499999999999999</v>
      </c>
      <c r="M5" s="13">
        <v>0.28499999999999998</v>
      </c>
      <c r="N5" s="18">
        <v>3.5000000000000003E-2</v>
      </c>
    </row>
    <row r="6" spans="1:14">
      <c r="A6" s="14">
        <v>46057</v>
      </c>
      <c r="B6" s="7">
        <v>10.4</v>
      </c>
      <c r="C6" s="7">
        <v>9</v>
      </c>
      <c r="D6" s="7">
        <v>1.4530000000000001</v>
      </c>
      <c r="E6" s="7">
        <v>1.4530000000000001</v>
      </c>
      <c r="F6" s="7">
        <v>0.75900000000000001</v>
      </c>
      <c r="G6" s="7">
        <v>0.216</v>
      </c>
      <c r="H6" s="7">
        <v>0.21</v>
      </c>
      <c r="I6" s="7">
        <v>0.06</v>
      </c>
      <c r="J6" s="7">
        <v>2.5000000000000001E-2</v>
      </c>
      <c r="K6" s="7">
        <v>6.5000000000000002E-2</v>
      </c>
      <c r="L6" s="7">
        <v>0.14499999999999999</v>
      </c>
      <c r="M6" s="7">
        <v>0.28000000000000003</v>
      </c>
      <c r="N6" s="19">
        <v>2.5000000000000001E-2</v>
      </c>
    </row>
    <row r="7" spans="1:14">
      <c r="A7" s="15">
        <v>46057</v>
      </c>
      <c r="B7" s="7">
        <v>10.4</v>
      </c>
      <c r="C7" s="7">
        <v>9.0500000000000007</v>
      </c>
      <c r="D7" s="7">
        <v>1.4530000000000001</v>
      </c>
      <c r="E7" s="7">
        <v>1.4530000000000001</v>
      </c>
      <c r="F7" s="7">
        <v>0.75900000000000001</v>
      </c>
      <c r="G7" s="7">
        <v>0.216</v>
      </c>
      <c r="H7" s="7">
        <v>0.18</v>
      </c>
      <c r="I7" s="7">
        <v>0.02</v>
      </c>
      <c r="J7" s="7">
        <v>2.5000000000000001E-2</v>
      </c>
      <c r="K7" s="7">
        <v>6.5000000000000002E-2</v>
      </c>
      <c r="L7" s="7">
        <v>0.14499999999999999</v>
      </c>
      <c r="M7" s="7">
        <v>0.28000000000000003</v>
      </c>
      <c r="N7" s="19">
        <v>2.5000000000000001E-2</v>
      </c>
    </row>
    <row r="8" spans="1:14">
      <c r="A8" s="109">
        <v>46058</v>
      </c>
      <c r="B8" s="110">
        <v>10.4</v>
      </c>
      <c r="C8" s="110">
        <v>8.5</v>
      </c>
      <c r="D8" s="110">
        <v>1.4530000000000001</v>
      </c>
      <c r="E8" s="110">
        <v>1.4530000000000001</v>
      </c>
      <c r="F8" s="110">
        <v>0.75900000000000001</v>
      </c>
      <c r="G8" s="110">
        <v>0.216</v>
      </c>
      <c r="H8" s="110">
        <v>0.2</v>
      </c>
      <c r="I8" s="110">
        <v>3.2000000000000001E-2</v>
      </c>
      <c r="J8" s="110">
        <v>3.5000000000000003E-2</v>
      </c>
      <c r="K8" s="110">
        <v>6.5000000000000002E-2</v>
      </c>
      <c r="L8" s="110">
        <v>0.14499999999999999</v>
      </c>
      <c r="M8" s="110">
        <v>0.28000000000000003</v>
      </c>
      <c r="N8" s="19">
        <v>3.3500000000000002E-2</v>
      </c>
    </row>
    <row r="9" spans="1:14">
      <c r="A9" s="265">
        <v>46076</v>
      </c>
      <c r="B9" s="110">
        <v>8.4</v>
      </c>
      <c r="C9" s="110">
        <v>6</v>
      </c>
      <c r="D9" s="110">
        <v>1.143</v>
      </c>
      <c r="E9" s="110">
        <v>1.143</v>
      </c>
      <c r="F9" s="110">
        <v>0.59499999999999997</v>
      </c>
      <c r="G9" s="110">
        <v>0.216</v>
      </c>
      <c r="H9" s="110">
        <v>0.124</v>
      </c>
      <c r="I9" s="110">
        <v>1.4E-2</v>
      </c>
      <c r="J9" s="110">
        <v>2.3E-2</v>
      </c>
      <c r="K9" s="110">
        <v>5.1999999999999998E-2</v>
      </c>
      <c r="L9" s="110">
        <v>0.11600000000000001</v>
      </c>
      <c r="M9" s="110">
        <v>0.22</v>
      </c>
      <c r="N9" s="267">
        <v>2.5000000000000001E-2</v>
      </c>
    </row>
    <row r="10" spans="1:14">
      <c r="A10" s="266">
        <v>46076</v>
      </c>
      <c r="B10" s="110">
        <v>8.4</v>
      </c>
      <c r="C10" s="110">
        <v>6</v>
      </c>
      <c r="D10" s="110">
        <v>1.143</v>
      </c>
      <c r="E10" s="110">
        <v>1.143</v>
      </c>
      <c r="F10" s="110">
        <v>0.59499999999999997</v>
      </c>
      <c r="G10" s="110">
        <v>0.216</v>
      </c>
      <c r="H10" s="110">
        <v>0.18</v>
      </c>
      <c r="I10" s="110">
        <v>1.4E-2</v>
      </c>
      <c r="J10" s="110">
        <v>0.02</v>
      </c>
      <c r="K10" s="110">
        <v>5.1999999999999998E-2</v>
      </c>
      <c r="L10" s="110">
        <v>0.11600000000000001</v>
      </c>
      <c r="M10" s="110">
        <v>0.22</v>
      </c>
      <c r="N10" s="267">
        <v>2.5000000000000001E-2</v>
      </c>
    </row>
    <row r="11" spans="1:14">
      <c r="A11" s="266">
        <v>46076</v>
      </c>
      <c r="B11" s="268">
        <v>8.4</v>
      </c>
      <c r="C11" s="268">
        <v>6</v>
      </c>
      <c r="D11" s="268">
        <v>1.143</v>
      </c>
      <c r="E11" s="268">
        <v>1.143</v>
      </c>
      <c r="F11" s="268">
        <v>0.59499999999999997</v>
      </c>
      <c r="G11" s="268">
        <v>0.216</v>
      </c>
      <c r="H11" s="268">
        <v>0.124</v>
      </c>
      <c r="I11" s="268">
        <v>1.4E-2</v>
      </c>
      <c r="J11" s="268">
        <v>2.3E-2</v>
      </c>
      <c r="K11" s="268">
        <v>5.1999999999999998E-2</v>
      </c>
      <c r="L11" s="268">
        <v>0.11600000000000001</v>
      </c>
      <c r="M11" s="268">
        <v>0.216</v>
      </c>
      <c r="N11" s="269">
        <v>2.5000000000000001E-2</v>
      </c>
    </row>
    <row r="12" spans="1:14">
      <c r="A12" s="265">
        <v>46078</v>
      </c>
      <c r="B12" s="110">
        <v>8.4</v>
      </c>
      <c r="C12" s="110">
        <v>6</v>
      </c>
      <c r="D12" s="110">
        <v>1.143</v>
      </c>
      <c r="E12" s="110">
        <v>1.143</v>
      </c>
      <c r="F12" s="110">
        <v>0.59499999999999997</v>
      </c>
      <c r="G12" s="110">
        <v>0.24</v>
      </c>
      <c r="H12" s="110"/>
      <c r="I12" s="110">
        <v>0.04</v>
      </c>
      <c r="J12" s="110"/>
      <c r="K12" s="110">
        <v>5.1999999999999998E-2</v>
      </c>
      <c r="L12" s="110">
        <v>0.11600000000000001</v>
      </c>
      <c r="M12" s="110">
        <v>0.19</v>
      </c>
      <c r="N12" s="267">
        <v>3.5000000000000003E-2</v>
      </c>
    </row>
    <row r="13" spans="1:14">
      <c r="A13" s="266">
        <v>46078</v>
      </c>
      <c r="B13" s="110">
        <v>8.4</v>
      </c>
      <c r="C13" s="110">
        <v>6</v>
      </c>
      <c r="D13" s="110">
        <v>1.143</v>
      </c>
      <c r="E13" s="110">
        <v>1.143</v>
      </c>
      <c r="F13" s="110">
        <v>0.59499999999999997</v>
      </c>
      <c r="G13" s="110">
        <v>0.24</v>
      </c>
      <c r="H13" s="110"/>
      <c r="I13" s="110">
        <v>1.2E-2</v>
      </c>
      <c r="J13" s="110"/>
      <c r="K13" s="110">
        <v>5.1999999999999998E-2</v>
      </c>
      <c r="L13" s="110">
        <v>0.11600000000000001</v>
      </c>
      <c r="M13" s="110">
        <v>0.22</v>
      </c>
      <c r="N13" s="267">
        <v>3.5000000000000003E-2</v>
      </c>
    </row>
    <row r="14" spans="1:14">
      <c r="A14" s="266">
        <v>46078</v>
      </c>
      <c r="B14" s="268">
        <v>8.4</v>
      </c>
      <c r="C14" s="268">
        <v>6</v>
      </c>
      <c r="D14" s="268">
        <v>1.143</v>
      </c>
      <c r="E14" s="268">
        <v>1.143</v>
      </c>
      <c r="F14" s="268">
        <v>0.59499999999999997</v>
      </c>
      <c r="G14" s="268">
        <v>0.24</v>
      </c>
      <c r="H14" s="268">
        <v>0.18</v>
      </c>
      <c r="I14" s="268">
        <v>0.02</v>
      </c>
      <c r="J14" s="268">
        <v>1.2E-2</v>
      </c>
      <c r="K14" s="268">
        <v>5.1999999999999998E-2</v>
      </c>
      <c r="L14" s="268">
        <v>0.11600000000000001</v>
      </c>
      <c r="M14" s="268">
        <v>0.19</v>
      </c>
      <c r="N14" s="269">
        <v>0.03</v>
      </c>
    </row>
    <row r="15" spans="1:14">
      <c r="A15" s="265">
        <v>46078</v>
      </c>
      <c r="B15" s="110">
        <v>8.4</v>
      </c>
      <c r="C15" s="110">
        <v>6</v>
      </c>
      <c r="D15" s="110">
        <v>1.143</v>
      </c>
      <c r="E15" s="110">
        <v>1.143</v>
      </c>
      <c r="F15" s="110">
        <v>0.59499999999999997</v>
      </c>
      <c r="G15" s="110">
        <v>0.216</v>
      </c>
      <c r="H15" s="110">
        <v>0.124</v>
      </c>
      <c r="I15" s="110">
        <v>1.4E-2</v>
      </c>
      <c r="J15" s="110">
        <v>2.3E-2</v>
      </c>
      <c r="K15" s="110">
        <v>5.1999999999999998E-2</v>
      </c>
      <c r="L15" s="110">
        <v>0.126</v>
      </c>
      <c r="M15" s="110">
        <v>0.20599999999999999</v>
      </c>
      <c r="N15" s="267">
        <v>2.5000000000000001E-2</v>
      </c>
    </row>
    <row r="16" spans="1:14">
      <c r="A16" s="266">
        <v>46080</v>
      </c>
      <c r="B16" s="110">
        <v>16.8</v>
      </c>
      <c r="C16" s="110">
        <v>12</v>
      </c>
      <c r="D16" s="110">
        <v>2.286</v>
      </c>
      <c r="E16" s="110">
        <v>2.286</v>
      </c>
      <c r="F16" s="110">
        <v>1.19</v>
      </c>
      <c r="G16" s="110">
        <v>0.432</v>
      </c>
      <c r="H16" s="110">
        <v>0.27</v>
      </c>
      <c r="I16" s="110">
        <v>2.4E-2</v>
      </c>
      <c r="J16" s="110">
        <v>0.03</v>
      </c>
      <c r="K16" s="110">
        <v>0.104</v>
      </c>
      <c r="L16" s="110">
        <v>0.23200000000000001</v>
      </c>
      <c r="M16" s="110">
        <v>0.4</v>
      </c>
      <c r="N16" s="267">
        <v>0.05</v>
      </c>
    </row>
    <row r="17" spans="1:14">
      <c r="A17" s="266"/>
      <c r="B17" s="268"/>
      <c r="C17" s="268"/>
      <c r="D17" s="268"/>
      <c r="E17" s="268"/>
      <c r="F17" s="268"/>
      <c r="G17" s="268"/>
      <c r="H17" s="268"/>
      <c r="I17" s="268"/>
      <c r="J17" s="268"/>
      <c r="K17" s="268"/>
      <c r="L17" s="268"/>
      <c r="M17" s="268"/>
      <c r="N17" s="269"/>
    </row>
    <row r="18" spans="1:14">
      <c r="A18" s="265"/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267"/>
    </row>
    <row r="19" spans="1:14">
      <c r="A19" s="266"/>
      <c r="B19" s="268"/>
      <c r="C19" s="268"/>
      <c r="D19" s="268"/>
      <c r="E19" s="268"/>
      <c r="F19" s="268"/>
      <c r="G19" s="268"/>
      <c r="H19" s="268"/>
      <c r="I19" s="268"/>
      <c r="J19" s="268"/>
      <c r="K19" s="268"/>
      <c r="L19" s="268"/>
      <c r="M19" s="268"/>
      <c r="N19" s="269"/>
    </row>
  </sheetData>
  <pageMargins left="0.7" right="0.7" top="0.75" bottom="0.75" header="0.3" footer="0.3"/>
  <pageSetup orientation="portrait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01"/>
  <sheetViews>
    <sheetView topLeftCell="A97" workbookViewId="0">
      <selection activeCell="A107" sqref="A107"/>
    </sheetView>
  </sheetViews>
  <sheetFormatPr baseColWidth="10" defaultColWidth="11" defaultRowHeight="14.4"/>
  <cols>
    <col min="2" max="2" width="24.88671875" customWidth="1"/>
    <col min="3" max="3" width="25.109375" customWidth="1"/>
  </cols>
  <sheetData>
    <row r="1" spans="1:3">
      <c r="A1" s="2" t="s">
        <v>267</v>
      </c>
      <c r="B1" s="3" t="s">
        <v>46</v>
      </c>
    </row>
    <row r="2" spans="1:3">
      <c r="A2" s="4">
        <f>HILADO!A2</f>
        <v>46002</v>
      </c>
      <c r="B2" s="5">
        <f>HILADO!F2</f>
        <v>950</v>
      </c>
    </row>
    <row r="3" spans="1:3">
      <c r="A3" s="4">
        <f>HILADO!A3</f>
        <v>46002</v>
      </c>
      <c r="B3" s="5">
        <f>HILADO!F3</f>
        <v>1000</v>
      </c>
    </row>
    <row r="4" spans="1:3">
      <c r="A4" s="4">
        <f>HILADO!A4</f>
        <v>46002</v>
      </c>
      <c r="B4" s="5">
        <f>HILADO!F4</f>
        <v>1111.5</v>
      </c>
    </row>
    <row r="5" spans="1:3">
      <c r="A5" s="4">
        <f>HILADO!A5</f>
        <v>46003</v>
      </c>
      <c r="B5" s="5">
        <f>HILADO!F5</f>
        <v>1000</v>
      </c>
    </row>
    <row r="6" spans="1:3">
      <c r="A6" s="4">
        <f>HILADO!A6</f>
        <v>46004</v>
      </c>
      <c r="B6" s="5">
        <f>HILADO!F6</f>
        <v>1000</v>
      </c>
    </row>
    <row r="7" spans="1:3">
      <c r="A7" s="4">
        <f>HILADO!A7</f>
        <v>46004</v>
      </c>
      <c r="B7" s="5">
        <f>HILADO!F7</f>
        <v>0</v>
      </c>
    </row>
    <row r="8" spans="1:3">
      <c r="A8" s="4">
        <f>HILADO!A8</f>
        <v>46006</v>
      </c>
      <c r="B8" s="5">
        <f>HILADO!F8</f>
        <v>1040</v>
      </c>
    </row>
    <row r="9" spans="1:3">
      <c r="A9" s="4">
        <f>HILADO!A9</f>
        <v>46006</v>
      </c>
      <c r="B9" s="5">
        <f>HILADO!F9</f>
        <v>1101.5</v>
      </c>
    </row>
    <row r="10" spans="1:3">
      <c r="A10" s="4">
        <f>HILADO!A10</f>
        <v>46006</v>
      </c>
      <c r="B10" s="5">
        <f>HILADO!F10</f>
        <v>1101</v>
      </c>
    </row>
    <row r="11" spans="1:3">
      <c r="A11" s="4">
        <f>HILADO!A11</f>
        <v>46006</v>
      </c>
      <c r="B11" s="5">
        <f>HILADO!F11</f>
        <v>0</v>
      </c>
    </row>
    <row r="12" spans="1:3">
      <c r="A12" s="4">
        <f>HILADO!A12</f>
        <v>46007</v>
      </c>
      <c r="B12" s="5">
        <f>HILADO!F12</f>
        <v>1008</v>
      </c>
      <c r="C12" s="6"/>
    </row>
    <row r="13" spans="1:3">
      <c r="A13" s="4">
        <f>HILADO!A13</f>
        <v>46007</v>
      </c>
      <c r="B13" s="5">
        <f>HILADO!F13</f>
        <v>1100</v>
      </c>
      <c r="C13" s="6"/>
    </row>
    <row r="14" spans="1:3">
      <c r="A14" s="4">
        <f>HILADO!A14</f>
        <v>46007</v>
      </c>
      <c r="B14" s="5">
        <f>HILADO!F14</f>
        <v>1100</v>
      </c>
      <c r="C14" s="6"/>
    </row>
    <row r="15" spans="1:3">
      <c r="A15" s="4">
        <f>HILADO!A15</f>
        <v>46007</v>
      </c>
      <c r="B15" s="5">
        <f>HILADO!F15</f>
        <v>1100</v>
      </c>
      <c r="C15" s="6"/>
    </row>
    <row r="16" spans="1:3">
      <c r="A16" s="4">
        <f>HILADO!A16</f>
        <v>46007</v>
      </c>
      <c r="B16" s="5">
        <f>HILADO!F16</f>
        <v>1100</v>
      </c>
      <c r="C16" s="6"/>
    </row>
    <row r="17" spans="1:3">
      <c r="A17" s="4">
        <f>HILADO!A17</f>
        <v>46008</v>
      </c>
      <c r="B17" s="5">
        <f>HILADO!F17</f>
        <v>1100</v>
      </c>
      <c r="C17" s="6"/>
    </row>
    <row r="18" spans="1:3">
      <c r="A18" s="4">
        <f>HILADO!A18</f>
        <v>46008</v>
      </c>
      <c r="B18" s="5">
        <f>HILADO!F18</f>
        <v>1100</v>
      </c>
      <c r="C18" s="6"/>
    </row>
    <row r="19" spans="1:3">
      <c r="A19" s="4">
        <f>HILADO!A19</f>
        <v>46008</v>
      </c>
      <c r="B19" s="5">
        <f>HILADO!F19</f>
        <v>0</v>
      </c>
      <c r="C19" s="6"/>
    </row>
    <row r="20" spans="1:3">
      <c r="A20" s="4">
        <f>HILADO!A20</f>
        <v>46009</v>
      </c>
      <c r="B20" s="5">
        <f>HILADO!F20</f>
        <v>1100</v>
      </c>
    </row>
    <row r="21" spans="1:3">
      <c r="A21" s="4">
        <f>HILADO!A21</f>
        <v>46009</v>
      </c>
      <c r="B21" s="5">
        <f>HILADO!F21</f>
        <v>1111</v>
      </c>
    </row>
    <row r="22" spans="1:3">
      <c r="A22" s="4">
        <f>HILADO!A22</f>
        <v>46010</v>
      </c>
      <c r="B22" s="5">
        <f>HILADO!F22</f>
        <v>1331</v>
      </c>
    </row>
    <row r="23" spans="1:3">
      <c r="A23" s="4">
        <f>HILADO!A23</f>
        <v>46010</v>
      </c>
      <c r="B23" s="5">
        <f>HILADO!F23</f>
        <v>1400</v>
      </c>
    </row>
    <row r="24" spans="1:3">
      <c r="A24" s="4">
        <f>HILADO!A24</f>
        <v>46010</v>
      </c>
      <c r="B24" s="5">
        <f>HILADO!F24</f>
        <v>1400</v>
      </c>
    </row>
    <row r="25" spans="1:3">
      <c r="A25" s="4">
        <f>HILADO!A25</f>
        <v>46011</v>
      </c>
      <c r="B25" s="5">
        <f>HILADO!F25</f>
        <v>0</v>
      </c>
    </row>
    <row r="26" spans="1:3">
      <c r="A26" s="4">
        <f>HILADO!A26</f>
        <v>46013</v>
      </c>
      <c r="B26" s="5">
        <f>HILADO!F26</f>
        <v>1100</v>
      </c>
    </row>
    <row r="27" spans="1:3">
      <c r="A27" s="4">
        <f>HILADO!A27</f>
        <v>46013</v>
      </c>
      <c r="B27" s="5">
        <f>HILADO!F27</f>
        <v>550</v>
      </c>
    </row>
    <row r="28" spans="1:3">
      <c r="A28" s="4">
        <f>HILADO!A28</f>
        <v>46013</v>
      </c>
      <c r="B28" s="5">
        <f>HILADO!F28</f>
        <v>550</v>
      </c>
    </row>
    <row r="29" spans="1:3">
      <c r="A29" s="4">
        <f>HILADO!A29</f>
        <v>46013</v>
      </c>
      <c r="B29" s="5">
        <f>HILADO!F29</f>
        <v>0</v>
      </c>
    </row>
    <row r="30" spans="1:3">
      <c r="A30" s="4">
        <f>HILADO!A30</f>
        <v>46013</v>
      </c>
      <c r="B30" s="5">
        <f>HILADO!F30</f>
        <v>500</v>
      </c>
    </row>
    <row r="31" spans="1:3">
      <c r="A31" s="4">
        <f>HILADO!A31</f>
        <v>46013</v>
      </c>
      <c r="B31" s="5">
        <f>HILADO!F31</f>
        <v>720</v>
      </c>
    </row>
    <row r="32" spans="1:3">
      <c r="A32" s="4">
        <f>HILADO!A32</f>
        <v>46013</v>
      </c>
      <c r="B32" s="5">
        <f>HILADO!F32</f>
        <v>0</v>
      </c>
    </row>
    <row r="33" spans="1:2">
      <c r="A33" s="4">
        <f>HILADO!A33</f>
        <v>46014</v>
      </c>
      <c r="B33" s="5">
        <f>HILADO!F33</f>
        <v>0</v>
      </c>
    </row>
    <row r="34" spans="1:2">
      <c r="A34" s="4">
        <f>HILADO!A34</f>
        <v>46014</v>
      </c>
      <c r="B34" s="5">
        <f>HILADO!F34</f>
        <v>0</v>
      </c>
    </row>
    <row r="35" spans="1:2">
      <c r="A35" s="4">
        <f>HILADO!A35</f>
        <v>46014</v>
      </c>
      <c r="B35" s="5">
        <f>HILADO!F35</f>
        <v>551</v>
      </c>
    </row>
    <row r="36" spans="1:2">
      <c r="A36" s="4">
        <f>HILADO!A36</f>
        <v>46014</v>
      </c>
      <c r="B36" s="5">
        <f>HILADO!F36</f>
        <v>552</v>
      </c>
    </row>
    <row r="37" spans="1:2">
      <c r="A37" s="4">
        <f>HILADO!A37</f>
        <v>46031</v>
      </c>
      <c r="B37" s="5" t="str">
        <f>HILADO!F37</f>
        <v>sa</v>
      </c>
    </row>
    <row r="38" spans="1:2">
      <c r="A38" s="4">
        <f>HILADO!A38</f>
        <v>46031</v>
      </c>
      <c r="B38" s="5">
        <f>HILADO!F38</f>
        <v>0</v>
      </c>
    </row>
    <row r="39" spans="1:2">
      <c r="A39" s="4">
        <f>HILADO!A39</f>
        <v>46031</v>
      </c>
      <c r="B39" s="5">
        <f>HILADO!F39</f>
        <v>0</v>
      </c>
    </row>
    <row r="40" spans="1:2">
      <c r="A40" s="4">
        <f>HILADO!A40</f>
        <v>46031</v>
      </c>
      <c r="B40" s="5">
        <f>HILADO!F40</f>
        <v>0</v>
      </c>
    </row>
    <row r="41" spans="1:2">
      <c r="A41" s="4">
        <f>HILADO!A41</f>
        <v>46032</v>
      </c>
      <c r="B41" s="5">
        <f>HILADO!F41</f>
        <v>0</v>
      </c>
    </row>
    <row r="42" spans="1:2">
      <c r="A42" s="4">
        <f>HILADO!A42</f>
        <v>46032</v>
      </c>
      <c r="B42" s="5">
        <f>HILADO!F42</f>
        <v>0</v>
      </c>
    </row>
    <row r="43" spans="1:2">
      <c r="A43" s="4">
        <f>HILADO!A43</f>
        <v>46032</v>
      </c>
      <c r="B43" s="5">
        <f>HILADO!F43</f>
        <v>0</v>
      </c>
    </row>
    <row r="44" spans="1:2">
      <c r="A44" s="4">
        <f>HILADO!A44</f>
        <v>46034</v>
      </c>
      <c r="B44" s="5">
        <f>HILADO!F44</f>
        <v>0</v>
      </c>
    </row>
    <row r="45" spans="1:2">
      <c r="A45" s="4">
        <f>HILADO!A45</f>
        <v>46034</v>
      </c>
      <c r="B45" s="5">
        <f>HILADO!F45</f>
        <v>500</v>
      </c>
    </row>
    <row r="46" spans="1:2">
      <c r="A46" s="4">
        <f>HILADO!A46</f>
        <v>46034</v>
      </c>
      <c r="B46" s="5">
        <f>HILADO!F46</f>
        <v>540</v>
      </c>
    </row>
    <row r="47" spans="1:2">
      <c r="A47" s="4">
        <f>HILADO!A47</f>
        <v>46036</v>
      </c>
      <c r="B47" s="5">
        <f>HILADO!F47</f>
        <v>530</v>
      </c>
    </row>
    <row r="48" spans="1:2">
      <c r="A48" s="4">
        <f>HILADO!A48</f>
        <v>46036</v>
      </c>
      <c r="B48" s="5">
        <f>HILADO!F48</f>
        <v>0</v>
      </c>
    </row>
    <row r="49" spans="1:2">
      <c r="A49" s="4">
        <f>HILADO!A49</f>
        <v>46037</v>
      </c>
      <c r="B49" s="5">
        <f>HILADO!F49</f>
        <v>0</v>
      </c>
    </row>
    <row r="50" spans="1:2">
      <c r="A50" s="4">
        <f>HILADO!A50</f>
        <v>46037</v>
      </c>
      <c r="B50" s="5">
        <f>HILADO!F50</f>
        <v>530</v>
      </c>
    </row>
    <row r="51" spans="1:2">
      <c r="A51" s="4">
        <f>HILADO!A51</f>
        <v>46037</v>
      </c>
      <c r="B51" s="5">
        <f>HILADO!F51</f>
        <v>550</v>
      </c>
    </row>
    <row r="52" spans="1:2">
      <c r="A52" s="4">
        <f>HILADO!A52</f>
        <v>46038</v>
      </c>
      <c r="B52" s="5">
        <f>HILADO!F52</f>
        <v>630</v>
      </c>
    </row>
    <row r="53" spans="1:2">
      <c r="A53" s="4">
        <f>HILADO!A53</f>
        <v>46038</v>
      </c>
      <c r="B53" s="5">
        <f>HILADO!F53</f>
        <v>630</v>
      </c>
    </row>
    <row r="54" spans="1:2">
      <c r="A54" s="4">
        <f>HILADO!A54</f>
        <v>46038</v>
      </c>
      <c r="B54" s="5">
        <f>HILADO!F54</f>
        <v>630</v>
      </c>
    </row>
    <row r="55" spans="1:2">
      <c r="A55" s="4">
        <f>HILADO!A55</f>
        <v>46038</v>
      </c>
      <c r="B55" s="5">
        <f>HILADO!F55</f>
        <v>0</v>
      </c>
    </row>
    <row r="56" spans="1:2">
      <c r="A56" s="4">
        <f>HILADO!A56</f>
        <v>46038</v>
      </c>
      <c r="B56" s="5">
        <f>HILADO!F56</f>
        <v>0</v>
      </c>
    </row>
    <row r="57" spans="1:2">
      <c r="A57" s="4">
        <f>HILADO!A57</f>
        <v>46039</v>
      </c>
      <c r="B57" s="5">
        <f>HILADO!F57</f>
        <v>657.5</v>
      </c>
    </row>
    <row r="58" spans="1:2">
      <c r="A58" s="4">
        <f>HILADO!A58</f>
        <v>46039</v>
      </c>
      <c r="B58" s="5">
        <f>HILADO!F58</f>
        <v>660</v>
      </c>
    </row>
    <row r="59" spans="1:2">
      <c r="A59" s="4">
        <f>HILADO!A59</f>
        <v>46041</v>
      </c>
      <c r="B59" s="5">
        <f>HILADO!F59</f>
        <v>0</v>
      </c>
    </row>
    <row r="60" spans="1:2">
      <c r="A60" s="4">
        <f>HILADO!A60</f>
        <v>46041</v>
      </c>
      <c r="B60" s="5">
        <f>HILADO!F60</f>
        <v>0</v>
      </c>
    </row>
    <row r="61" spans="1:2">
      <c r="A61" s="4">
        <f>HILADO!A61</f>
        <v>46042</v>
      </c>
      <c r="B61" s="5">
        <f>HILADO!F61</f>
        <v>0</v>
      </c>
    </row>
    <row r="62" spans="1:2">
      <c r="A62" s="4">
        <f>HILADO!A62</f>
        <v>46042</v>
      </c>
      <c r="B62" s="5">
        <f>HILADO!F62</f>
        <v>750</v>
      </c>
    </row>
    <row r="63" spans="1:2">
      <c r="A63" s="4">
        <f>HILADO!A63</f>
        <v>46042</v>
      </c>
      <c r="B63" s="5">
        <f>HILADO!F63</f>
        <v>750</v>
      </c>
    </row>
    <row r="64" spans="1:2">
      <c r="A64" s="4">
        <f>HILADO!A64</f>
        <v>46042</v>
      </c>
      <c r="B64" s="5">
        <f>HILADO!F64</f>
        <v>750</v>
      </c>
    </row>
    <row r="65" spans="1:2">
      <c r="A65" s="4">
        <f>HILADO!A65</f>
        <v>46043</v>
      </c>
      <c r="B65" s="5">
        <f>HILADO!F65</f>
        <v>668</v>
      </c>
    </row>
    <row r="66" spans="1:2">
      <c r="A66" s="4">
        <f>HILADO!A66</f>
        <v>46043</v>
      </c>
      <c r="B66" s="5">
        <f>HILADO!F66</f>
        <v>630</v>
      </c>
    </row>
    <row r="67" spans="1:2">
      <c r="A67" s="4">
        <f>HILADO!A67</f>
        <v>46043</v>
      </c>
      <c r="B67" s="5">
        <f>HILADO!F67</f>
        <v>740</v>
      </c>
    </row>
    <row r="68" spans="1:2">
      <c r="A68" s="4">
        <f>HILADO!A68</f>
        <v>46043</v>
      </c>
      <c r="B68" s="5">
        <f>HILADO!F68</f>
        <v>710</v>
      </c>
    </row>
    <row r="69" spans="1:2">
      <c r="A69" s="4">
        <f>HILADO!A69</f>
        <v>46043</v>
      </c>
      <c r="B69" s="5">
        <f>HILADO!F69</f>
        <v>771</v>
      </c>
    </row>
    <row r="70" spans="1:2">
      <c r="A70" s="4">
        <f>HILADO!A70</f>
        <v>46044</v>
      </c>
      <c r="B70" s="5">
        <f>HILADO!F70</f>
        <v>760</v>
      </c>
    </row>
    <row r="71" spans="1:2">
      <c r="A71" s="4">
        <f>HILADO!A71</f>
        <v>46044</v>
      </c>
      <c r="B71" s="5">
        <f>HILADO!F71</f>
        <v>800</v>
      </c>
    </row>
    <row r="72" spans="1:2">
      <c r="A72" s="4">
        <f>HILADO!A72</f>
        <v>46044</v>
      </c>
      <c r="B72" s="5">
        <f>HILADO!F72</f>
        <v>620</v>
      </c>
    </row>
    <row r="73" spans="1:2">
      <c r="A73" s="4">
        <f>HILADO!A73</f>
        <v>46044</v>
      </c>
      <c r="B73" s="5">
        <f>HILADO!F73</f>
        <v>0</v>
      </c>
    </row>
    <row r="74" spans="1:2">
      <c r="A74" s="4">
        <f>HILADO!A74</f>
        <v>46045</v>
      </c>
      <c r="B74" s="5">
        <f>HILADO!F74</f>
        <v>800</v>
      </c>
    </row>
    <row r="75" spans="1:2">
      <c r="A75" s="4">
        <f>HILADO!A75</f>
        <v>46045</v>
      </c>
      <c r="B75" s="5">
        <f>HILADO!F75</f>
        <v>790.5</v>
      </c>
    </row>
    <row r="76" spans="1:2">
      <c r="A76" s="4">
        <f>HILADO!A76</f>
        <v>46045</v>
      </c>
      <c r="B76" s="5">
        <f>HILADO!F76</f>
        <v>690</v>
      </c>
    </row>
    <row r="77" spans="1:2">
      <c r="A77" s="4">
        <f>HILADO!A77</f>
        <v>46046</v>
      </c>
      <c r="B77" s="5">
        <f>HILADO!F77</f>
        <v>700</v>
      </c>
    </row>
    <row r="78" spans="1:2">
      <c r="A78" s="4">
        <f>HILADO!A78</f>
        <v>46046</v>
      </c>
      <c r="B78" s="5">
        <f>HILADO!F78</f>
        <v>680</v>
      </c>
    </row>
    <row r="79" spans="1:2">
      <c r="A79" s="4">
        <f>HILADO!A79</f>
        <v>46049</v>
      </c>
      <c r="B79" s="5">
        <f>HILADO!F79</f>
        <v>0</v>
      </c>
    </row>
    <row r="80" spans="1:2">
      <c r="A80" s="4">
        <f>HILADO!A80</f>
        <v>46049</v>
      </c>
      <c r="B80" s="5">
        <f>HILADO!F80</f>
        <v>650</v>
      </c>
    </row>
    <row r="81" spans="1:2">
      <c r="A81" s="4">
        <f>HILADO!A81</f>
        <v>46049</v>
      </c>
      <c r="B81" s="5">
        <f>HILADO!F81</f>
        <v>650</v>
      </c>
    </row>
    <row r="82" spans="1:2">
      <c r="A82" s="4">
        <f>HILADO!A82</f>
        <v>46049</v>
      </c>
      <c r="B82" s="5">
        <f>HILADO!F82</f>
        <v>650</v>
      </c>
    </row>
    <row r="83" spans="1:2">
      <c r="A83" s="4">
        <f>HILADO!A83</f>
        <v>46049</v>
      </c>
      <c r="B83" s="5">
        <f>HILADO!F83</f>
        <v>650</v>
      </c>
    </row>
    <row r="84" spans="1:2">
      <c r="A84" s="4">
        <f>HILADO!A84</f>
        <v>46050</v>
      </c>
      <c r="B84" s="5">
        <f>HILADO!F84</f>
        <v>650</v>
      </c>
    </row>
    <row r="85" spans="1:2">
      <c r="A85" s="4">
        <f>HILADO!A85</f>
        <v>46050</v>
      </c>
      <c r="B85" s="5">
        <f>HILADO!F85</f>
        <v>650</v>
      </c>
    </row>
    <row r="86" spans="1:2">
      <c r="A86" s="4">
        <f>HILADO!A86</f>
        <v>46050</v>
      </c>
      <c r="B86" s="5">
        <f>HILADO!F86</f>
        <v>700</v>
      </c>
    </row>
    <row r="87" spans="1:2">
      <c r="A87" s="4">
        <f>HILADO!A87</f>
        <v>46050</v>
      </c>
      <c r="B87" s="5">
        <f>HILADO!F87</f>
        <v>700</v>
      </c>
    </row>
    <row r="88" spans="1:2">
      <c r="A88" s="4">
        <f>HILADO!A88</f>
        <v>46050</v>
      </c>
      <c r="B88" s="5">
        <f>HILADO!F88</f>
        <v>700</v>
      </c>
    </row>
    <row r="89" spans="1:2">
      <c r="A89" s="4">
        <f>HILADO!A89</f>
        <v>46050</v>
      </c>
      <c r="B89" s="5">
        <f>HILADO!F89</f>
        <v>700</v>
      </c>
    </row>
    <row r="90" spans="1:2">
      <c r="A90" s="4">
        <f>HILADO!A90</f>
        <v>46051</v>
      </c>
      <c r="B90" s="5">
        <f>HILADO!F90</f>
        <v>700</v>
      </c>
    </row>
    <row r="91" spans="1:2">
      <c r="A91" s="4">
        <f>HILADO!A91</f>
        <v>46051</v>
      </c>
      <c r="B91" s="5">
        <f>HILADO!F91</f>
        <v>700</v>
      </c>
    </row>
    <row r="92" spans="1:2">
      <c r="A92" s="4">
        <f>HILADO!A92</f>
        <v>46051</v>
      </c>
      <c r="B92" s="5">
        <f>HILADO!F92</f>
        <v>700</v>
      </c>
    </row>
    <row r="93" spans="1:2">
      <c r="A93" s="4">
        <f>HILADO!A93</f>
        <v>46051</v>
      </c>
      <c r="B93" s="5">
        <f>HILADO!F93</f>
        <v>0</v>
      </c>
    </row>
    <row r="94" spans="1:2">
      <c r="A94" s="4">
        <f>HILADO!A94</f>
        <v>46051</v>
      </c>
      <c r="B94" s="5">
        <f>HILADO!F94</f>
        <v>0</v>
      </c>
    </row>
    <row r="95" spans="1:2">
      <c r="A95" s="4">
        <f>HILADO!A95</f>
        <v>46052</v>
      </c>
      <c r="B95" s="5">
        <f>HILADO!F95</f>
        <v>600</v>
      </c>
    </row>
    <row r="96" spans="1:2">
      <c r="A96" s="4">
        <f>HILADO!A96</f>
        <v>46052</v>
      </c>
      <c r="B96" s="5">
        <f>HILADO!F96</f>
        <v>600</v>
      </c>
    </row>
    <row r="97" spans="1:2">
      <c r="A97" s="4">
        <f>HILADO!A97</f>
        <v>46052</v>
      </c>
      <c r="B97" s="5">
        <f>HILADO!F97</f>
        <v>0</v>
      </c>
    </row>
    <row r="98" spans="1:2">
      <c r="A98" s="4">
        <f>HILADO!A98</f>
        <v>46052</v>
      </c>
      <c r="B98" s="5">
        <f>HILADO!F98</f>
        <v>600</v>
      </c>
    </row>
    <row r="99" spans="1:2">
      <c r="A99" s="4">
        <f>HILADO!A99</f>
        <v>46052</v>
      </c>
      <c r="B99" s="5">
        <f>HILADO!F99</f>
        <v>0</v>
      </c>
    </row>
    <row r="100" spans="1:2">
      <c r="A100" s="4">
        <f>HILADO!A100</f>
        <v>46052</v>
      </c>
      <c r="B100" s="5">
        <f>HILADO!F100</f>
        <v>0</v>
      </c>
    </row>
    <row r="101" spans="1:2">
      <c r="A101" s="4">
        <f>HILADO!A101</f>
        <v>46053</v>
      </c>
      <c r="B101" s="5">
        <f>HILADO!F101</f>
        <v>600</v>
      </c>
    </row>
    <row r="102" spans="1:2">
      <c r="A102" s="4">
        <f>HILADO!A102</f>
        <v>46055</v>
      </c>
      <c r="B102" s="5">
        <f>HILADO!F102</f>
        <v>600</v>
      </c>
    </row>
    <row r="103" spans="1:2">
      <c r="A103" s="4">
        <f>HILADO!A103</f>
        <v>46055</v>
      </c>
      <c r="B103" s="5">
        <f>HILADO!F103</f>
        <v>600</v>
      </c>
    </row>
    <row r="104" spans="1:2">
      <c r="A104" s="4">
        <f>HILADO!A104</f>
        <v>46055</v>
      </c>
      <c r="B104" s="5">
        <f>HILADO!F104</f>
        <v>600</v>
      </c>
    </row>
    <row r="105" spans="1:2">
      <c r="A105" s="4">
        <f>HILADO!A105</f>
        <v>46055</v>
      </c>
      <c r="B105" s="5">
        <f>HILADO!F105</f>
        <v>600</v>
      </c>
    </row>
    <row r="106" spans="1:2">
      <c r="A106" s="4">
        <f>HILADO!A106</f>
        <v>46055</v>
      </c>
      <c r="B106" s="5">
        <f>HILADO!F106</f>
        <v>600</v>
      </c>
    </row>
    <row r="107" spans="1:2">
      <c r="A107" s="4">
        <f>HILADO!A107</f>
        <v>46056</v>
      </c>
      <c r="B107" s="5">
        <f>HILADO!F107</f>
        <v>0</v>
      </c>
    </row>
    <row r="108" spans="1:2">
      <c r="A108" s="4">
        <f>HILADO!A108</f>
        <v>46056</v>
      </c>
      <c r="B108" s="5">
        <f>HILADO!F108</f>
        <v>0</v>
      </c>
    </row>
    <row r="109" spans="1:2">
      <c r="A109" s="4">
        <f>HILADO!A109</f>
        <v>46056</v>
      </c>
      <c r="B109" s="5">
        <f>HILADO!F109</f>
        <v>0</v>
      </c>
    </row>
    <row r="110" spans="1:2">
      <c r="A110" s="4">
        <f>HILADO!A110</f>
        <v>46056</v>
      </c>
      <c r="B110" s="5">
        <f>HILADO!F110</f>
        <v>0</v>
      </c>
    </row>
    <row r="111" spans="1:2">
      <c r="A111" s="4">
        <f>HILADO!A111</f>
        <v>46056</v>
      </c>
      <c r="B111" s="124"/>
    </row>
    <row r="112" spans="1:2">
      <c r="A112" s="4">
        <f>HILADO!A112</f>
        <v>46057</v>
      </c>
      <c r="B112" s="124"/>
    </row>
    <row r="113" spans="1:2">
      <c r="A113" s="4">
        <f>HILADO!A113</f>
        <v>46057</v>
      </c>
      <c r="B113" s="124"/>
    </row>
    <row r="114" spans="1:2">
      <c r="A114" s="4">
        <f>HILADO!A114</f>
        <v>46057</v>
      </c>
      <c r="B114" s="124"/>
    </row>
    <row r="115" spans="1:2">
      <c r="A115" s="4">
        <f>HILADO!A115</f>
        <v>46057</v>
      </c>
      <c r="B115" s="124"/>
    </row>
    <row r="116" spans="1:2">
      <c r="A116" s="4">
        <f>HILADO!A116</f>
        <v>46058</v>
      </c>
      <c r="B116" s="124"/>
    </row>
    <row r="117" spans="1:2">
      <c r="A117" s="4">
        <f>HILADO!A117</f>
        <v>46058</v>
      </c>
      <c r="B117" s="124"/>
    </row>
    <row r="118" spans="1:2">
      <c r="A118" s="4">
        <f>HILADO!A118</f>
        <v>46058</v>
      </c>
      <c r="B118" s="124"/>
    </row>
    <row r="119" spans="1:2">
      <c r="A119" s="4">
        <f>HILADO!A119</f>
        <v>46058</v>
      </c>
      <c r="B119" s="124"/>
    </row>
    <row r="120" spans="1:2">
      <c r="A120" s="4">
        <f>HILADO!A120</f>
        <v>46058</v>
      </c>
      <c r="B120" s="124"/>
    </row>
    <row r="121" spans="1:2">
      <c r="A121" s="4">
        <f>HILADO!A121</f>
        <v>0</v>
      </c>
      <c r="B121" s="124"/>
    </row>
    <row r="122" spans="1:2">
      <c r="A122" s="4">
        <f>HILADO!A122</f>
        <v>0</v>
      </c>
      <c r="B122" s="124"/>
    </row>
    <row r="123" spans="1:2">
      <c r="A123" s="4">
        <f>HILADO!A123</f>
        <v>46059</v>
      </c>
      <c r="B123" s="124"/>
    </row>
    <row r="124" spans="1:2">
      <c r="A124" s="4">
        <f>HILADO!A124</f>
        <v>46059</v>
      </c>
      <c r="B124" s="124"/>
    </row>
    <row r="125" spans="1:2">
      <c r="A125" s="4">
        <f>HILADO!A125</f>
        <v>46059</v>
      </c>
      <c r="B125" s="124"/>
    </row>
    <row r="126" spans="1:2">
      <c r="A126" s="4">
        <f>HILADO!A126</f>
        <v>44964</v>
      </c>
      <c r="B126" s="124"/>
    </row>
    <row r="127" spans="1:2">
      <c r="A127" s="4">
        <f>HILADO!A127</f>
        <v>46060</v>
      </c>
      <c r="B127" s="124"/>
    </row>
    <row r="128" spans="1:2">
      <c r="A128" s="4">
        <f>HILADO!A128</f>
        <v>46060</v>
      </c>
      <c r="B128" s="124"/>
    </row>
    <row r="129" spans="1:2">
      <c r="A129" s="4">
        <f>HILADO!A129</f>
        <v>46062</v>
      </c>
      <c r="B129" s="124"/>
    </row>
    <row r="130" spans="1:2">
      <c r="A130" s="4">
        <f>HILADO!A130</f>
        <v>46062</v>
      </c>
      <c r="B130" s="124"/>
    </row>
    <row r="131" spans="1:2">
      <c r="A131" s="4">
        <f>HILADO!A131</f>
        <v>46062</v>
      </c>
      <c r="B131" s="124"/>
    </row>
    <row r="132" spans="1:2">
      <c r="A132" s="4">
        <f>HILADO!A132</f>
        <v>46062</v>
      </c>
      <c r="B132" s="124"/>
    </row>
    <row r="133" spans="1:2">
      <c r="A133" s="4">
        <f>HILADO!A133</f>
        <v>46063</v>
      </c>
      <c r="B133" s="124"/>
    </row>
    <row r="134" spans="1:2">
      <c r="A134" s="4">
        <f>HILADO!A172</f>
        <v>0</v>
      </c>
      <c r="B134" s="124"/>
    </row>
    <row r="135" spans="1:2">
      <c r="A135" s="4">
        <f>HILADO!A173</f>
        <v>0</v>
      </c>
      <c r="B135" s="124"/>
    </row>
    <row r="136" spans="1:2">
      <c r="A136" s="4">
        <f>HILADO!A174</f>
        <v>0</v>
      </c>
      <c r="B136" s="124"/>
    </row>
    <row r="137" spans="1:2">
      <c r="A137" s="4">
        <f>HILADO!A175</f>
        <v>0</v>
      </c>
      <c r="B137" s="124"/>
    </row>
    <row r="138" spans="1:2">
      <c r="A138" s="4">
        <f>HILADO!A176</f>
        <v>0</v>
      </c>
      <c r="B138" s="124"/>
    </row>
    <row r="139" spans="1:2">
      <c r="A139" s="4">
        <f>HILADO!A177</f>
        <v>0</v>
      </c>
      <c r="B139" s="124"/>
    </row>
    <row r="140" spans="1:2">
      <c r="A140" s="4">
        <f>HILADO!A178</f>
        <v>0</v>
      </c>
      <c r="B140" s="124"/>
    </row>
    <row r="141" spans="1:2">
      <c r="A141" s="4">
        <f>HILADO!A179</f>
        <v>0</v>
      </c>
      <c r="B141" s="124"/>
    </row>
    <row r="142" spans="1:2">
      <c r="A142" s="4">
        <f>HILADO!A180</f>
        <v>0</v>
      </c>
      <c r="B142" s="124"/>
    </row>
    <row r="143" spans="1:2">
      <c r="A143" s="4">
        <f>HILADO!A181</f>
        <v>0</v>
      </c>
      <c r="B143" s="124"/>
    </row>
    <row r="144" spans="1:2">
      <c r="A144" s="4">
        <f>HILADO!A182</f>
        <v>0</v>
      </c>
      <c r="B144" s="124"/>
    </row>
    <row r="145" spans="1:2">
      <c r="A145" s="4">
        <f>HILADO!A183</f>
        <v>0</v>
      </c>
      <c r="B145" s="124"/>
    </row>
    <row r="146" spans="1:2">
      <c r="A146" s="4">
        <f>HILADO!A184</f>
        <v>0</v>
      </c>
      <c r="B146" s="124"/>
    </row>
    <row r="147" spans="1:2">
      <c r="A147" s="4">
        <f>HILADO!A185</f>
        <v>0</v>
      </c>
      <c r="B147" s="124"/>
    </row>
    <row r="148" spans="1:2">
      <c r="A148" s="4">
        <f>HILADO!A186</f>
        <v>0</v>
      </c>
      <c r="B148" s="124"/>
    </row>
    <row r="149" spans="1:2">
      <c r="A149" s="4">
        <f>HILADO!A187</f>
        <v>0</v>
      </c>
      <c r="B149" s="124"/>
    </row>
    <row r="150" spans="1:2">
      <c r="A150" s="4">
        <f>HILADO!A188</f>
        <v>0</v>
      </c>
      <c r="B150" s="124"/>
    </row>
    <row r="151" spans="1:2">
      <c r="A151" s="4">
        <f>HILADO!A189</f>
        <v>0</v>
      </c>
      <c r="B151" s="124"/>
    </row>
    <row r="152" spans="1:2">
      <c r="A152" s="4">
        <f>HILADO!A190</f>
        <v>0</v>
      </c>
      <c r="B152" s="124"/>
    </row>
    <row r="153" spans="1:2">
      <c r="A153" s="4">
        <f>HILADO!A191</f>
        <v>0</v>
      </c>
      <c r="B153" s="124"/>
    </row>
    <row r="154" spans="1:2">
      <c r="A154" s="4">
        <f>HILADO!A192</f>
        <v>0</v>
      </c>
      <c r="B154" s="124"/>
    </row>
    <row r="155" spans="1:2">
      <c r="A155" s="4">
        <f>HILADO!A193</f>
        <v>0</v>
      </c>
      <c r="B155" s="124"/>
    </row>
    <row r="156" spans="1:2">
      <c r="A156" s="4">
        <f>HILADO!A194</f>
        <v>0</v>
      </c>
      <c r="B156" s="124"/>
    </row>
    <row r="157" spans="1:2">
      <c r="A157" s="4">
        <f>HILADO!A195</f>
        <v>0</v>
      </c>
      <c r="B157" s="124"/>
    </row>
    <row r="158" spans="1:2">
      <c r="A158" s="4">
        <f>HILADO!A196</f>
        <v>0</v>
      </c>
      <c r="B158" s="124"/>
    </row>
    <row r="159" spans="1:2">
      <c r="A159" s="4">
        <f>HILADO!A197</f>
        <v>0</v>
      </c>
      <c r="B159" s="124"/>
    </row>
    <row r="160" spans="1:2">
      <c r="A160" s="4">
        <f>HILADO!A198</f>
        <v>0</v>
      </c>
      <c r="B160" s="124"/>
    </row>
    <row r="161" spans="1:2">
      <c r="A161" s="4">
        <f>HILADO!A199</f>
        <v>0</v>
      </c>
      <c r="B161" s="124"/>
    </row>
    <row r="162" spans="1:2">
      <c r="A162" s="4">
        <f>HILADO!A200</f>
        <v>0</v>
      </c>
      <c r="B162" s="124"/>
    </row>
    <row r="163" spans="1:2">
      <c r="A163" s="4">
        <f>HILADO!A201</f>
        <v>0</v>
      </c>
      <c r="B163" s="124"/>
    </row>
    <row r="164" spans="1:2">
      <c r="A164" s="4">
        <f>HILADO!A202</f>
        <v>0</v>
      </c>
      <c r="B164" s="124"/>
    </row>
    <row r="165" spans="1:2">
      <c r="A165" s="4">
        <f>HILADO!A203</f>
        <v>0</v>
      </c>
      <c r="B165" s="124"/>
    </row>
    <row r="166" spans="1:2">
      <c r="A166" s="4">
        <f>HILADO!A204</f>
        <v>0</v>
      </c>
      <c r="B166" s="124"/>
    </row>
    <row r="167" spans="1:2">
      <c r="A167" s="4">
        <f>HILADO!A205</f>
        <v>0</v>
      </c>
      <c r="B167" s="124"/>
    </row>
    <row r="168" spans="1:2">
      <c r="A168" s="4">
        <f>HILADO!A206</f>
        <v>0</v>
      </c>
      <c r="B168" s="124"/>
    </row>
    <row r="169" spans="1:2">
      <c r="A169" s="4">
        <f>HILADO!A207</f>
        <v>0</v>
      </c>
      <c r="B169" s="124"/>
    </row>
    <row r="170" spans="1:2">
      <c r="A170" s="4">
        <f>HILADO!A208</f>
        <v>0</v>
      </c>
      <c r="B170" s="124"/>
    </row>
    <row r="171" spans="1:2">
      <c r="A171" s="4">
        <f>HILADO!A209</f>
        <v>0</v>
      </c>
      <c r="B171" s="124"/>
    </row>
    <row r="172" spans="1:2">
      <c r="A172" s="4">
        <f>HILADO!A210</f>
        <v>0</v>
      </c>
      <c r="B172" s="124"/>
    </row>
    <row r="173" spans="1:2">
      <c r="A173" s="4">
        <f>HILADO!A211</f>
        <v>0</v>
      </c>
      <c r="B173" s="124"/>
    </row>
    <row r="174" spans="1:2">
      <c r="A174" s="4">
        <f>HILADO!A212</f>
        <v>0</v>
      </c>
      <c r="B174" s="124"/>
    </row>
    <row r="175" spans="1:2">
      <c r="A175" s="4">
        <f>HILADO!A213</f>
        <v>0</v>
      </c>
      <c r="B175" s="124"/>
    </row>
    <row r="176" spans="1:2">
      <c r="A176" s="4">
        <f>HILADO!A214</f>
        <v>0</v>
      </c>
      <c r="B176" s="124"/>
    </row>
    <row r="177" spans="1:2">
      <c r="A177" s="4">
        <f>HILADO!A215</f>
        <v>0</v>
      </c>
      <c r="B177" s="124"/>
    </row>
    <row r="178" spans="1:2">
      <c r="A178" s="4">
        <f>HILADO!A216</f>
        <v>0</v>
      </c>
      <c r="B178" s="124"/>
    </row>
    <row r="179" spans="1:2">
      <c r="A179" s="4">
        <f>HILADO!A217</f>
        <v>0</v>
      </c>
      <c r="B179" s="124"/>
    </row>
    <row r="180" spans="1:2">
      <c r="A180" s="4">
        <f>HILADO!A218</f>
        <v>0</v>
      </c>
      <c r="B180" s="124"/>
    </row>
    <row r="181" spans="1:2">
      <c r="A181" s="4">
        <f>HILADO!A219</f>
        <v>0</v>
      </c>
      <c r="B181" s="124"/>
    </row>
    <row r="182" spans="1:2">
      <c r="A182" s="4">
        <f>HILADO!A220</f>
        <v>0</v>
      </c>
      <c r="B182" s="124"/>
    </row>
    <row r="183" spans="1:2">
      <c r="A183" s="4">
        <f>HILADO!A221</f>
        <v>0</v>
      </c>
      <c r="B183" s="124"/>
    </row>
    <row r="184" spans="1:2">
      <c r="A184" s="4">
        <f>HILADO!A222</f>
        <v>0</v>
      </c>
      <c r="B184" s="124"/>
    </row>
    <row r="185" spans="1:2">
      <c r="A185" s="4">
        <f>HILADO!A223</f>
        <v>0</v>
      </c>
      <c r="B185" s="124"/>
    </row>
    <row r="186" spans="1:2">
      <c r="A186" s="4">
        <f>HILADO!A224</f>
        <v>0</v>
      </c>
      <c r="B186" s="124"/>
    </row>
    <row r="187" spans="1:2">
      <c r="A187" s="4">
        <f>HILADO!A225</f>
        <v>0</v>
      </c>
      <c r="B187" s="124"/>
    </row>
    <row r="188" spans="1:2">
      <c r="A188" s="4">
        <f>HILADO!A226</f>
        <v>0</v>
      </c>
      <c r="B188" s="124"/>
    </row>
    <row r="189" spans="1:2">
      <c r="A189" s="4">
        <f>HILADO!A227</f>
        <v>0</v>
      </c>
      <c r="B189" s="124"/>
    </row>
    <row r="190" spans="1:2">
      <c r="A190" s="4">
        <f>HILADO!A228</f>
        <v>0</v>
      </c>
      <c r="B190" s="124"/>
    </row>
    <row r="191" spans="1:2">
      <c r="A191" s="4">
        <f>HILADO!A229</f>
        <v>0</v>
      </c>
      <c r="B191" s="124"/>
    </row>
    <row r="192" spans="1:2">
      <c r="A192" s="4">
        <f>HILADO!A230</f>
        <v>0</v>
      </c>
      <c r="B192" s="124"/>
    </row>
    <row r="193" spans="1:2">
      <c r="A193" s="4">
        <f>HILADO!A231</f>
        <v>0</v>
      </c>
      <c r="B193" s="124"/>
    </row>
    <row r="194" spans="1:2">
      <c r="A194" s="4">
        <f>HILADO!A232</f>
        <v>0</v>
      </c>
      <c r="B194" s="124"/>
    </row>
    <row r="195" spans="1:2">
      <c r="A195" s="4">
        <f>HILADO!A233</f>
        <v>0</v>
      </c>
      <c r="B195" s="124"/>
    </row>
    <row r="196" spans="1:2">
      <c r="A196" s="4">
        <f>HILADO!A234</f>
        <v>0</v>
      </c>
      <c r="B196" s="124"/>
    </row>
    <row r="197" spans="1:2">
      <c r="A197" s="4">
        <f>HILADO!A235</f>
        <v>0</v>
      </c>
      <c r="B197" s="124"/>
    </row>
    <row r="198" spans="1:2">
      <c r="A198" s="4">
        <f>HILADO!A236</f>
        <v>0</v>
      </c>
      <c r="B198" s="124"/>
    </row>
    <row r="199" spans="1:2">
      <c r="B199" s="7"/>
    </row>
    <row r="200" spans="1:2">
      <c r="B200" s="7"/>
    </row>
    <row r="201" spans="1:2">
      <c r="B201" s="7"/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61"/>
  <sheetViews>
    <sheetView topLeftCell="A40" workbookViewId="0">
      <selection activeCell="D52" sqref="D52"/>
    </sheetView>
  </sheetViews>
  <sheetFormatPr baseColWidth="10" defaultColWidth="11" defaultRowHeight="14.4"/>
  <cols>
    <col min="2" max="2" width="21.6640625" customWidth="1"/>
    <col min="3" max="3" width="20.109375" customWidth="1"/>
    <col min="4" max="4" width="18.88671875" customWidth="1"/>
  </cols>
  <sheetData>
    <row r="1" spans="1:4">
      <c r="A1" t="s">
        <v>267</v>
      </c>
      <c r="B1" t="s">
        <v>94</v>
      </c>
      <c r="C1" t="s">
        <v>97</v>
      </c>
      <c r="D1" t="s">
        <v>51</v>
      </c>
    </row>
    <row r="2" spans="1:4">
      <c r="A2" s="1">
        <f>CUAJADA!A2</f>
        <v>46003</v>
      </c>
      <c r="B2" t="str">
        <f>CUAJADA!G2</f>
        <v>2 BOLSAS DE 1000</v>
      </c>
      <c r="C2" t="str">
        <f>CUAJADA!N2</f>
        <v>42/43</v>
      </c>
      <c r="D2">
        <f>CUAJADA!K2</f>
        <v>532</v>
      </c>
    </row>
    <row r="3" spans="1:4">
      <c r="A3" s="1">
        <f>CUAJADA!A3</f>
        <v>46004</v>
      </c>
      <c r="B3" t="str">
        <f>CUAJADA!G3</f>
        <v>3 bolsas</v>
      </c>
      <c r="C3">
        <f>CUAJADA!N3</f>
        <v>48</v>
      </c>
      <c r="D3">
        <f>CUAJADA!K3</f>
        <v>530</v>
      </c>
    </row>
    <row r="4" spans="1:4">
      <c r="A4" s="1">
        <f>CUAJADA!A4</f>
        <v>46008</v>
      </c>
      <c r="B4">
        <f>CUAJADA!G4</f>
        <v>2</v>
      </c>
      <c r="C4">
        <f>CUAJADA!N4</f>
        <v>48</v>
      </c>
      <c r="D4">
        <f>CUAJADA!K4</f>
        <v>500</v>
      </c>
    </row>
    <row r="5" spans="1:4">
      <c r="A5" s="1">
        <f>CUAJADA!A5</f>
        <v>46009</v>
      </c>
      <c r="B5">
        <f>CUAJADA!G5</f>
        <v>2</v>
      </c>
      <c r="C5">
        <f>CUAJADA!N5</f>
        <v>45</v>
      </c>
      <c r="D5">
        <f>CUAJADA!K5</f>
        <v>530</v>
      </c>
    </row>
    <row r="6" spans="1:4">
      <c r="A6" s="1">
        <f>CUAJADA!A6</f>
        <v>46010</v>
      </c>
      <c r="B6">
        <f>CUAJADA!G6</f>
        <v>2</v>
      </c>
      <c r="C6">
        <f>CUAJADA!N6</f>
        <v>44</v>
      </c>
      <c r="D6">
        <f>CUAJADA!K6</f>
        <v>344</v>
      </c>
    </row>
    <row r="7" spans="1:4">
      <c r="A7" s="1">
        <f>CUAJADA!A7</f>
        <v>46011</v>
      </c>
      <c r="B7">
        <f>CUAJADA!G7</f>
        <v>2</v>
      </c>
      <c r="C7">
        <f>CUAJADA!N7</f>
        <v>44.5</v>
      </c>
      <c r="D7">
        <f>CUAJADA!K7</f>
        <v>330</v>
      </c>
    </row>
    <row r="8" spans="1:4">
      <c r="A8" s="1">
        <f>CUAJADA!A8</f>
        <v>46014</v>
      </c>
      <c r="B8">
        <f>CUAJADA!G8</f>
        <v>100</v>
      </c>
      <c r="C8">
        <f>CUAJADA!N8</f>
        <v>61.5</v>
      </c>
      <c r="D8">
        <f>CUAJADA!K8</f>
        <v>0</v>
      </c>
    </row>
    <row r="9" spans="1:4">
      <c r="A9" s="1" t="e">
        <f>CUAJADA!#REF!</f>
        <v>#REF!</v>
      </c>
      <c r="B9" t="e">
        <f>CUAJADA!#REF!</f>
        <v>#REF!</v>
      </c>
      <c r="C9" t="e">
        <f>CUAJADA!#REF!</f>
        <v>#REF!</v>
      </c>
      <c r="D9" t="e">
        <f>CUAJADA!#REF!</f>
        <v>#REF!</v>
      </c>
    </row>
    <row r="10" spans="1:4">
      <c r="A10" s="1">
        <f>CUAJADA!A9</f>
        <v>46030</v>
      </c>
      <c r="B10">
        <f>CUAJADA!G9</f>
        <v>50</v>
      </c>
      <c r="C10">
        <f>CUAJADA!N9</f>
        <v>34</v>
      </c>
      <c r="D10">
        <f>CUAJADA!K9</f>
        <v>60</v>
      </c>
    </row>
    <row r="11" spans="1:4">
      <c r="A11" s="1">
        <f>CUAJADA!A10</f>
        <v>46031</v>
      </c>
      <c r="B11">
        <f>CUAJADA!G10</f>
        <v>1.5</v>
      </c>
      <c r="C11">
        <f>CUAJADA!N10</f>
        <v>34</v>
      </c>
      <c r="D11">
        <f>CUAJADA!K10</f>
        <v>60</v>
      </c>
    </row>
    <row r="12" spans="1:4">
      <c r="A12" s="1">
        <f>CUAJADA!A11</f>
        <v>46032</v>
      </c>
      <c r="B12" t="str">
        <f>CUAJADA!G11</f>
        <v>p/1500</v>
      </c>
      <c r="C12">
        <f>CUAJADA!N11</f>
        <v>34.5</v>
      </c>
      <c r="D12">
        <f>CUAJADA!K11</f>
        <v>60</v>
      </c>
    </row>
    <row r="13" spans="1:4">
      <c r="A13" s="1">
        <f>CUAJADA!A12</f>
        <v>46035</v>
      </c>
      <c r="B13">
        <f>CUAJADA!G12</f>
        <v>50</v>
      </c>
      <c r="C13">
        <f>CUAJADA!N12</f>
        <v>35</v>
      </c>
      <c r="D13">
        <f>CUAJADA!K12</f>
        <v>250</v>
      </c>
    </row>
    <row r="14" spans="1:4">
      <c r="A14" s="1">
        <f>CUAJADA!A13</f>
        <v>46036</v>
      </c>
      <c r="B14" t="str">
        <f>CUAJADA!G13</f>
        <v>25/25</v>
      </c>
      <c r="C14" t="str">
        <f>CUAJADA!N13</f>
        <v>20/24</v>
      </c>
      <c r="D14" t="str">
        <f>CUAJADA!K13</f>
        <v>160/150</v>
      </c>
    </row>
    <row r="15" spans="1:4">
      <c r="A15" s="1">
        <f>CUAJADA!A14</f>
        <v>46037</v>
      </c>
      <c r="B15">
        <f>CUAJADA!G14</f>
        <v>50</v>
      </c>
      <c r="C15">
        <f>CUAJADA!N14</f>
        <v>48</v>
      </c>
      <c r="D15">
        <f>CUAJADA!K14</f>
        <v>301</v>
      </c>
    </row>
    <row r="16" spans="1:4">
      <c r="A16" s="1">
        <f>CUAJADA!A15</f>
        <v>46038</v>
      </c>
      <c r="B16">
        <f>CUAJADA!G15</f>
        <v>5</v>
      </c>
      <c r="C16">
        <f>CUAJADA!N15</f>
        <v>42.5</v>
      </c>
      <c r="D16">
        <f>CUAJADA!K15</f>
        <v>300</v>
      </c>
    </row>
    <row r="17" spans="1:4">
      <c r="A17" s="1">
        <f>CUAJADA!A16</f>
        <v>46039</v>
      </c>
      <c r="B17" t="str">
        <f>CUAJADA!G16</f>
        <v>50/25</v>
      </c>
      <c r="C17" t="str">
        <f>CUAJADA!N16</f>
        <v>29/19</v>
      </c>
      <c r="D17" t="str">
        <f>CUAJADA!K16</f>
        <v>280/120</v>
      </c>
    </row>
    <row r="18" spans="1:4">
      <c r="A18" s="1">
        <f>CUAJADA!A17</f>
        <v>46042</v>
      </c>
      <c r="B18">
        <f>CUAJADA!G17</f>
        <v>50</v>
      </c>
      <c r="C18">
        <f>CUAJADA!N17</f>
        <v>48</v>
      </c>
      <c r="D18">
        <f>CUAJADA!K17</f>
        <v>300</v>
      </c>
    </row>
    <row r="19" spans="1:4">
      <c r="A19" s="1">
        <f>CUAJADA!A18</f>
        <v>46043</v>
      </c>
      <c r="B19">
        <f>CUAJADA!G18</f>
        <v>50</v>
      </c>
      <c r="C19">
        <f>CUAJADA!N18</f>
        <v>54.5</v>
      </c>
      <c r="D19">
        <f>CUAJADA!K18</f>
        <v>450</v>
      </c>
    </row>
    <row r="20" spans="1:4">
      <c r="A20" s="1">
        <f>CUAJADA!A19</f>
        <v>46044</v>
      </c>
      <c r="B20">
        <f>CUAJADA!G19</f>
        <v>50</v>
      </c>
      <c r="C20">
        <f>CUAJADA!N19</f>
        <v>200</v>
      </c>
      <c r="D20">
        <f>CUAJADA!K19</f>
        <v>405</v>
      </c>
    </row>
    <row r="21" spans="1:4">
      <c r="A21" s="1">
        <f>CUAJADA!A20</f>
        <v>46045</v>
      </c>
      <c r="B21">
        <f>CUAJADA!G20</f>
        <v>50</v>
      </c>
      <c r="C21">
        <f>CUAJADA!N20</f>
        <v>20.5</v>
      </c>
      <c r="D21">
        <f>CUAJADA!K20</f>
        <v>377</v>
      </c>
    </row>
    <row r="22" spans="1:4">
      <c r="A22" s="1">
        <f>CUAJADA!A21</f>
        <v>46046</v>
      </c>
      <c r="B22">
        <f>CUAJADA!G21</f>
        <v>50</v>
      </c>
      <c r="C22">
        <f>CUAJADA!N21</f>
        <v>41.5</v>
      </c>
      <c r="D22">
        <f>CUAJADA!K21</f>
        <v>310</v>
      </c>
    </row>
    <row r="23" spans="1:4">
      <c r="A23" s="1">
        <f>CUAJADA!A22</f>
        <v>46049</v>
      </c>
      <c r="B23">
        <f>CUAJADA!G22</f>
        <v>50</v>
      </c>
      <c r="C23">
        <f>CUAJADA!N22</f>
        <v>0</v>
      </c>
      <c r="D23">
        <f>CUAJADA!K22</f>
        <v>403</v>
      </c>
    </row>
    <row r="24" spans="1:4">
      <c r="A24" s="1">
        <f>CUAJADA!A23</f>
        <v>46050</v>
      </c>
      <c r="B24">
        <f>CUAJADA!G23</f>
        <v>50</v>
      </c>
      <c r="C24">
        <f>CUAJADA!N23</f>
        <v>39.5</v>
      </c>
      <c r="D24">
        <f>CUAJADA!K23</f>
        <v>0</v>
      </c>
    </row>
    <row r="25" spans="1:4">
      <c r="A25" s="1">
        <f>CUAJADA!A24</f>
        <v>46051</v>
      </c>
      <c r="B25">
        <f>CUAJADA!G24</f>
        <v>75</v>
      </c>
      <c r="C25">
        <f>CUAJADA!N24</f>
        <v>64</v>
      </c>
      <c r="D25">
        <f>CUAJADA!K24</f>
        <v>180</v>
      </c>
    </row>
    <row r="26" spans="1:4">
      <c r="A26" s="1">
        <f>CUAJADA!A25</f>
        <v>46052</v>
      </c>
      <c r="B26">
        <f>CUAJADA!G25</f>
        <v>50</v>
      </c>
      <c r="C26">
        <f>CUAJADA!N25</f>
        <v>35</v>
      </c>
      <c r="D26" t="str">
        <f>CUAJADA!K25</f>
        <v xml:space="preserve"> </v>
      </c>
    </row>
    <row r="27" spans="1:4">
      <c r="A27" s="1">
        <f>CUAJADA!A26</f>
        <v>46053</v>
      </c>
      <c r="B27">
        <f>CUAJADA!G26</f>
        <v>50</v>
      </c>
      <c r="C27">
        <f>CUAJADA!N26</f>
        <v>38.5</v>
      </c>
      <c r="D27">
        <f>CUAJADA!K26</f>
        <v>440</v>
      </c>
    </row>
    <row r="28" spans="1:4">
      <c r="A28" s="1" t="e">
        <f>CUAJADA!#REF!</f>
        <v>#REF!</v>
      </c>
      <c r="B28" t="e">
        <f>CUAJADA!#REF!</f>
        <v>#REF!</v>
      </c>
      <c r="C28" t="e">
        <f>CUAJADA!#REF!</f>
        <v>#REF!</v>
      </c>
      <c r="D28" t="e">
        <f>CUAJADA!#REF!</f>
        <v>#REF!</v>
      </c>
    </row>
    <row r="29" spans="1:4">
      <c r="A29" s="1">
        <f>CUAJADA!A27</f>
        <v>46056</v>
      </c>
      <c r="B29">
        <f>CUAJADA!G27</f>
        <v>50</v>
      </c>
      <c r="C29">
        <f>CUAJADA!N27</f>
        <v>41</v>
      </c>
      <c r="D29">
        <f>CUAJADA!K27</f>
        <v>520.5</v>
      </c>
    </row>
    <row r="30" spans="1:4">
      <c r="A30" s="1">
        <f>CUAJADA!A28</f>
        <v>46057</v>
      </c>
      <c r="B30">
        <f>CUAJADA!G28</f>
        <v>50</v>
      </c>
      <c r="C30">
        <f>CUAJADA!N28</f>
        <v>41.5</v>
      </c>
      <c r="D30">
        <f>CUAJADA!K28</f>
        <v>500</v>
      </c>
    </row>
    <row r="31" spans="1:4">
      <c r="A31" s="1">
        <f>CUAJADA!A29</f>
        <v>46058</v>
      </c>
      <c r="B31">
        <f>CUAJADA!G29</f>
        <v>50</v>
      </c>
      <c r="C31">
        <f>CUAJADA!N29</f>
        <v>76</v>
      </c>
      <c r="D31">
        <f>CUAJADA!K29</f>
        <v>520</v>
      </c>
    </row>
    <row r="32" spans="1:4">
      <c r="A32" s="1">
        <f>CUAJADA!A30</f>
        <v>46059</v>
      </c>
      <c r="B32" t="str">
        <f>CUAJADA!G30</f>
        <v>1 sobre</v>
      </c>
      <c r="C32">
        <f>CUAJADA!N30</f>
        <v>79.5</v>
      </c>
      <c r="D32">
        <f>CUAJADA!K30</f>
        <v>500</v>
      </c>
    </row>
    <row r="33" spans="1:4">
      <c r="A33" s="1">
        <f>CUAJADA!A31</f>
        <v>46060</v>
      </c>
      <c r="B33">
        <f>CUAJADA!G31</f>
        <v>2</v>
      </c>
      <c r="C33">
        <f>CUAJADA!N31</f>
        <v>80</v>
      </c>
      <c r="D33">
        <f>CUAJADA!K31</f>
        <v>500</v>
      </c>
    </row>
    <row r="34" spans="1:4">
      <c r="A34" s="1">
        <f>CUAJADA!A32</f>
        <v>46063</v>
      </c>
      <c r="B34">
        <f>CUAJADA!G32</f>
        <v>1</v>
      </c>
      <c r="C34">
        <f>CUAJADA!N32</f>
        <v>42.5</v>
      </c>
      <c r="D34">
        <f>CUAJADA!K32</f>
        <v>460</v>
      </c>
    </row>
    <row r="35" spans="1:4">
      <c r="A35" s="1">
        <f>CUAJADA!A33</f>
        <v>46064</v>
      </c>
      <c r="B35">
        <f>CUAJADA!G33</f>
        <v>1</v>
      </c>
      <c r="C35">
        <f>CUAJADA!N33</f>
        <v>50</v>
      </c>
      <c r="D35">
        <f>CUAJADA!K33</f>
        <v>500</v>
      </c>
    </row>
    <row r="36" spans="1:4">
      <c r="A36" s="1">
        <f>CUAJADA!A34</f>
        <v>46065</v>
      </c>
      <c r="B36">
        <f>CUAJADA!G34</f>
        <v>1</v>
      </c>
      <c r="C36">
        <f>CUAJADA!N34</f>
        <v>48</v>
      </c>
      <c r="D36">
        <f>CUAJADA!K34</f>
        <v>480</v>
      </c>
    </row>
    <row r="37" spans="1:4">
      <c r="A37" s="1">
        <f>CUAJADA!A35</f>
        <v>46066</v>
      </c>
      <c r="B37">
        <f>CUAJADA!G35</f>
        <v>0</v>
      </c>
      <c r="C37">
        <f>CUAJADA!N35</f>
        <v>0</v>
      </c>
      <c r="D37">
        <f>CUAJADA!K35</f>
        <v>0</v>
      </c>
    </row>
    <row r="38" spans="1:4">
      <c r="A38" s="1">
        <f>CUAJADA!A36</f>
        <v>46067</v>
      </c>
      <c r="B38">
        <f>CUAJADA!G36</f>
        <v>2</v>
      </c>
      <c r="C38" t="str">
        <f>CUAJADA!N36</f>
        <v>31/31</v>
      </c>
      <c r="D38" t="str">
        <f>CUAJADA!K36</f>
        <v>340/340</v>
      </c>
    </row>
    <row r="39" spans="1:4">
      <c r="A39" s="1" t="e">
        <f>CUAJADA!#REF!</f>
        <v>#REF!</v>
      </c>
      <c r="B39" t="e">
        <f>CUAJADA!#REF!</f>
        <v>#REF!</v>
      </c>
      <c r="C39" t="e">
        <f>CUAJADA!#REF!</f>
        <v>#REF!</v>
      </c>
      <c r="D39" t="e">
        <f>CUAJADA!#REF!</f>
        <v>#REF!</v>
      </c>
    </row>
    <row r="40" spans="1:4">
      <c r="A40" s="1" t="e">
        <f>CUAJADA!#REF!</f>
        <v>#REF!</v>
      </c>
      <c r="B40" t="e">
        <f>CUAJADA!#REF!</f>
        <v>#REF!</v>
      </c>
      <c r="C40" t="e">
        <f>CUAJADA!#REF!</f>
        <v>#REF!</v>
      </c>
      <c r="D40" t="e">
        <f>CUAJADA!#REF!</f>
        <v>#REF!</v>
      </c>
    </row>
    <row r="41" spans="1:4">
      <c r="A41" s="1">
        <f>CUAJADA!A37</f>
        <v>46070</v>
      </c>
      <c r="B41">
        <f>CUAJADA!G37</f>
        <v>0</v>
      </c>
      <c r="C41">
        <f>CUAJADA!N37</f>
        <v>0</v>
      </c>
      <c r="D41">
        <f>CUAJADA!K37</f>
        <v>0</v>
      </c>
    </row>
    <row r="42" spans="1:4">
      <c r="A42" s="1">
        <f>CUAJADA!A38</f>
        <v>46071</v>
      </c>
      <c r="B42">
        <f>CUAJADA!G38</f>
        <v>2</v>
      </c>
      <c r="C42" t="str">
        <f>CUAJADA!N38</f>
        <v>38,5/38,5</v>
      </c>
      <c r="D42" t="str">
        <f>CUAJADA!K38</f>
        <v>340/340</v>
      </c>
    </row>
    <row r="43" spans="1:4">
      <c r="A43" s="1">
        <f>CUAJADA!A39</f>
        <v>46072</v>
      </c>
      <c r="B43">
        <f>CUAJADA!G39</f>
        <v>0</v>
      </c>
      <c r="C43">
        <f>CUAJADA!N39</f>
        <v>0</v>
      </c>
      <c r="D43">
        <f>CUAJADA!K39</f>
        <v>0</v>
      </c>
    </row>
    <row r="44" spans="1:4">
      <c r="A44" s="1">
        <f>CUAJADA!A40</f>
        <v>46073</v>
      </c>
      <c r="B44">
        <f>CUAJADA!G40</f>
        <v>1</v>
      </c>
      <c r="C44">
        <f>CUAJADA!N40</f>
        <v>45</v>
      </c>
      <c r="D44">
        <f>CUAJADA!K40</f>
        <v>0.44</v>
      </c>
    </row>
    <row r="45" spans="1:4">
      <c r="A45" s="1">
        <f>CUAJADA!A41</f>
        <v>46074</v>
      </c>
      <c r="B45">
        <f>CUAJADA!G41</f>
        <v>1</v>
      </c>
      <c r="C45">
        <f>CUAJADA!N41</f>
        <v>44.5</v>
      </c>
      <c r="D45">
        <f>CUAJADA!K41</f>
        <v>0.49</v>
      </c>
    </row>
    <row r="46" spans="1:4">
      <c r="A46" s="1" t="e">
        <f>CUAJADA!#REF!</f>
        <v>#REF!</v>
      </c>
      <c r="B46" t="e">
        <f>CUAJADA!#REF!</f>
        <v>#REF!</v>
      </c>
      <c r="C46" t="e">
        <f>CUAJADA!#REF!</f>
        <v>#REF!</v>
      </c>
      <c r="D46" t="e">
        <f>CUAJADA!#REF!</f>
        <v>#REF!</v>
      </c>
    </row>
    <row r="47" spans="1:4">
      <c r="A47" s="1" t="e">
        <f>CUAJADA!#REF!</f>
        <v>#REF!</v>
      </c>
      <c r="B47" t="e">
        <f>CUAJADA!#REF!</f>
        <v>#REF!</v>
      </c>
      <c r="C47" t="e">
        <f>CUAJADA!#REF!</f>
        <v>#REF!</v>
      </c>
      <c r="D47" t="e">
        <f>CUAJADA!#REF!</f>
        <v>#REF!</v>
      </c>
    </row>
    <row r="48" spans="1:4">
      <c r="A48" s="1">
        <f>CUAJADA!A42</f>
        <v>46077</v>
      </c>
      <c r="B48">
        <f>CUAJADA!G42</f>
        <v>0</v>
      </c>
      <c r="C48">
        <f>CUAJADA!N42</f>
        <v>0</v>
      </c>
      <c r="D48">
        <f>CUAJADA!K42</f>
        <v>0</v>
      </c>
    </row>
    <row r="49" spans="1:4">
      <c r="A49" s="1">
        <f>CUAJADA!A43</f>
        <v>46078</v>
      </c>
      <c r="B49">
        <f>CUAJADA!G43</f>
        <v>0</v>
      </c>
      <c r="C49">
        <f>CUAJADA!N43</f>
        <v>0</v>
      </c>
      <c r="D49">
        <f>CUAJADA!K43</f>
        <v>0</v>
      </c>
    </row>
    <row r="50" spans="1:4">
      <c r="A50" s="1">
        <f>CUAJADA!A44</f>
        <v>46079</v>
      </c>
      <c r="B50">
        <f>CUAJADA!G44</f>
        <v>1</v>
      </c>
      <c r="C50">
        <f>CUAJADA!N44</f>
        <v>45</v>
      </c>
      <c r="D50">
        <f>CUAJADA!K44</f>
        <v>0.44</v>
      </c>
    </row>
    <row r="51" spans="1:4">
      <c r="A51" s="1">
        <f>CUAJADA!A45</f>
        <v>46080</v>
      </c>
      <c r="B51">
        <v>0.05</v>
      </c>
      <c r="C51">
        <v>0.09</v>
      </c>
      <c r="D51">
        <v>0.88</v>
      </c>
    </row>
    <row r="52" spans="1:4">
      <c r="A52" s="1">
        <f>CUAJADA!A46</f>
        <v>46081</v>
      </c>
      <c r="B52">
        <f>CUAJADA!G46</f>
        <v>0</v>
      </c>
      <c r="C52">
        <f>CUAJADA!N46</f>
        <v>0</v>
      </c>
      <c r="D52">
        <f>CUAJADA!K46</f>
        <v>0</v>
      </c>
    </row>
    <row r="53" spans="1:4">
      <c r="A53" s="1">
        <f>CUAJADA!A47</f>
        <v>46082</v>
      </c>
      <c r="B53">
        <f>CUAJADA!G47</f>
        <v>0</v>
      </c>
      <c r="C53">
        <f>CUAJADA!N47</f>
        <v>0</v>
      </c>
      <c r="D53">
        <f>CUAJADA!K47</f>
        <v>0</v>
      </c>
    </row>
    <row r="54" spans="1:4">
      <c r="A54" s="1">
        <f>CUAJADA!A48</f>
        <v>46083</v>
      </c>
      <c r="B54">
        <f>CUAJADA!G48</f>
        <v>0</v>
      </c>
      <c r="C54">
        <f>CUAJADA!N48</f>
        <v>0</v>
      </c>
      <c r="D54">
        <f>CUAJADA!K48</f>
        <v>0</v>
      </c>
    </row>
    <row r="55" spans="1:4">
      <c r="A55" s="1">
        <f>CUAJADA!A49</f>
        <v>46084</v>
      </c>
      <c r="B55">
        <f>CUAJADA!G49</f>
        <v>1</v>
      </c>
      <c r="C55">
        <f>CUAJADA!N49</f>
        <v>60</v>
      </c>
      <c r="D55">
        <f>CUAJADA!K49</f>
        <v>600</v>
      </c>
    </row>
    <row r="56" spans="1:4">
      <c r="A56" s="1">
        <f>CUAJADA!A50</f>
        <v>46085</v>
      </c>
      <c r="B56">
        <f>CUAJADA!G50</f>
        <v>1</v>
      </c>
      <c r="C56">
        <f>CUAJADA!N50</f>
        <v>60</v>
      </c>
      <c r="D56">
        <f>CUAJADA!K50</f>
        <v>480</v>
      </c>
    </row>
    <row r="57" spans="1:4">
      <c r="A57" s="1">
        <f>CUAJADA!A51</f>
        <v>46086</v>
      </c>
      <c r="B57">
        <f>CUAJADA!G51</f>
        <v>0</v>
      </c>
      <c r="C57">
        <f>CUAJADA!N51</f>
        <v>0</v>
      </c>
      <c r="D57">
        <f>CUAJADA!K51</f>
        <v>0</v>
      </c>
    </row>
    <row r="58" spans="1:4">
      <c r="B58">
        <f>CUAJADA!G58</f>
        <v>0</v>
      </c>
      <c r="C58">
        <f>CUAJADA!N58</f>
        <v>0</v>
      </c>
      <c r="D58">
        <f>CUAJADA!K58</f>
        <v>0</v>
      </c>
    </row>
    <row r="59" spans="1:4">
      <c r="B59">
        <f>CUAJADA!G59</f>
        <v>0</v>
      </c>
      <c r="C59">
        <f>CUAJADA!N59</f>
        <v>0</v>
      </c>
      <c r="D59">
        <f>CUAJADA!K59</f>
        <v>0</v>
      </c>
    </row>
    <row r="60" spans="1:4">
      <c r="B60">
        <f>CUAJADA!G60</f>
        <v>0</v>
      </c>
      <c r="C60">
        <f>CUAJADA!N60</f>
        <v>0</v>
      </c>
      <c r="D60">
        <f>CUAJADA!K60</f>
        <v>0</v>
      </c>
    </row>
    <row r="61" spans="1:4">
      <c r="B61">
        <f>CUAJADA!G61</f>
        <v>0</v>
      </c>
      <c r="C61">
        <f>CUAJADA!N61</f>
        <v>0</v>
      </c>
      <c r="D61">
        <f>CUAJADA!K61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CONTROL DE LECHE</vt:lpstr>
      <vt:lpstr>INVENTARIO DINAMICO</vt:lpstr>
      <vt:lpstr>Inventario</vt:lpstr>
      <vt:lpstr>Recetas</vt:lpstr>
      <vt:lpstr>RECETA DE DULCE</vt:lpstr>
      <vt:lpstr>Registro Dulce</vt:lpstr>
      <vt:lpstr>STOCK DLCH</vt:lpstr>
      <vt:lpstr>Registro de cheddar</vt:lpstr>
      <vt:lpstr>STOCK QCHL</vt:lpstr>
      <vt:lpstr>CUAJADA</vt:lpstr>
      <vt:lpstr>HILADO</vt:lpstr>
      <vt:lpstr>BALANCE PRINCIPAL</vt:lpstr>
      <vt:lpstr> RESUMEN CAMARA 2</vt:lpstr>
      <vt:lpstr>REGISTRO DE ENVASADO</vt:lpstr>
      <vt:lpstr>REGISTRO DULCE DINAMICO</vt:lpstr>
      <vt:lpstr>Registro chedar dinamico</vt:lpstr>
      <vt:lpstr>HILADO DINAMICO</vt:lpstr>
      <vt:lpstr>CUAJADA DINAMICO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Usuario</cp:lastModifiedBy>
  <dcterms:created xsi:type="dcterms:W3CDTF">2026-01-30T02:15:00Z</dcterms:created>
  <dcterms:modified xsi:type="dcterms:W3CDTF">2026-03-28T03:09:27Z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71BE954CFEC14B29AE3C4F76B4E92619_12</vt:lpwstr>
  </property>
  <property fmtid="{D5CDD505-2E9C-101B-9397-08002B2CF9AE}" pid="3" name="KSOProductBuildVer">
    <vt:lpwstr>1033-12.2.0.23196</vt:lpwstr>
  </property>
</Properties>
</file>